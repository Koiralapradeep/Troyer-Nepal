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nil\Downloads\"/>
    </mc:Choice>
  </mc:AlternateContent>
  <xr:revisionPtr revIDLastSave="0" documentId="13_ncr:1_{1E97BD0D-E5DE-4565-A18A-A5BCA7856BD0}" xr6:coauthVersionLast="47" xr6:coauthVersionMax="47" xr10:uidLastSave="{00000000-0000-0000-0000-000000000000}"/>
  <bookViews>
    <workbookView xWindow="-110" yWindow="-110" windowWidth="19420" windowHeight="11500" xr2:uid="{80DD1EF5-3681-416C-A457-DC7FB822585C}"/>
  </bookViews>
  <sheets>
    <sheet name="Engagements" sheetId="1" r:id="rId1"/>
    <sheet name="Sites_List" sheetId="2" r:id="rId2"/>
    <sheet name="profiles" sheetId="3" r:id="rId3"/>
  </sheets>
  <definedNames>
    <definedName name="Sites">OFFSET(Sites_List!$A$2, 0, 0, COUNTA(Sites_List!$A:$A)-1,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20" i="1" l="1"/>
  <c r="E19" i="1"/>
  <c r="E18" i="1"/>
  <c r="E17" i="1"/>
  <c r="E16" i="1"/>
  <c r="E15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<sst xmlns="http://schemas.openxmlformats.org/spreadsheetml/2006/main" count="89" uniqueCount="50">
  <si>
    <t>Employee Name</t>
  </si>
  <si>
    <t>Site Engaged</t>
  </si>
  <si>
    <t>Starting Date</t>
  </si>
  <si>
    <t>End Date</t>
  </si>
  <si>
    <t>Duration (Days)</t>
  </si>
  <si>
    <t>Dhirendra Kumar</t>
  </si>
  <si>
    <t>Nobeshor Yadav</t>
  </si>
  <si>
    <t>Ganesh Budha</t>
  </si>
  <si>
    <t>Shakti Bhushan</t>
  </si>
  <si>
    <t>Biraj Sharma</t>
  </si>
  <si>
    <t>Akshaya Kumar</t>
  </si>
  <si>
    <t>Ram Adhikari</t>
  </si>
  <si>
    <t>Sunil Halder</t>
  </si>
  <si>
    <t>Sunil Giri</t>
  </si>
  <si>
    <t>Ayush Karki</t>
  </si>
  <si>
    <t>Dedej Kasem</t>
  </si>
  <si>
    <t>Sergio Feitosa</t>
  </si>
  <si>
    <t>Tobia Walpoth</t>
  </si>
  <si>
    <t>Mewa Khola</t>
  </si>
  <si>
    <t>Seti khola</t>
  </si>
  <si>
    <t>Shyarpu khola</t>
  </si>
  <si>
    <t>Upper Khudi</t>
  </si>
  <si>
    <t>Upper Myagdi</t>
  </si>
  <si>
    <t>Nyasim Khola</t>
  </si>
  <si>
    <t>Upper Myagdi 1 (FR)</t>
  </si>
  <si>
    <t>Luja Khola</t>
  </si>
  <si>
    <t>Chepe Khola</t>
  </si>
  <si>
    <t>Dodhpokhari Chepe</t>
  </si>
  <si>
    <t>Sabha Khola B</t>
  </si>
  <si>
    <t>Mechanical Manager</t>
  </si>
  <si>
    <t>Electrical Manager</t>
  </si>
  <si>
    <t>Electrician</t>
  </si>
  <si>
    <t>Mechanical Engineer</t>
  </si>
  <si>
    <t>Senior Foreman</t>
  </si>
  <si>
    <t>Site Coordinator</t>
  </si>
  <si>
    <t>Electrical Coordinator (Site)</t>
  </si>
  <si>
    <t>Welder</t>
  </si>
  <si>
    <t>Project site Manager</t>
  </si>
  <si>
    <t>Sales Engineer</t>
  </si>
  <si>
    <t>Electrical Engineer</t>
  </si>
  <si>
    <t>Sr. Mechanical Technician</t>
  </si>
  <si>
    <t>Automation Engineer</t>
  </si>
  <si>
    <t>Designation</t>
  </si>
  <si>
    <t>Location</t>
  </si>
  <si>
    <t>Thulo Khola</t>
  </si>
  <si>
    <t>kathmandu Office</t>
  </si>
  <si>
    <t>Delhi Office</t>
  </si>
  <si>
    <t>Italy</t>
  </si>
  <si>
    <t>ON LEAVE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</si>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</sst>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[$-409]d\-mmm\-yyyy;@"/>
    </dxf>
    <dxf>
      <numFmt numFmtId="164" formatCode="[$-409]d\-mmm\-yyyy;@"/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6E599-F316-4AE0-8BF5-F31E6F59072D}" name="Table1" displayName="Table1" ref="A1:F20" totalsRowShown="0">
  <autoFilter ref="A1:F20" xr:uid="{1166E599-F316-4AE0-8BF5-F31E6F59072D}"/>
  <tableColumns count="6">
    <tableColumn id="1" xr3:uid="{86F02A31-E7A7-4032-8919-CC939D3A3A34}" name="Employee Name" dataDxfId="4" dataCellStyle="Hyperlink"/>
    <tableColumn id="2" xr3:uid="{3591AE26-CA67-405F-998D-991913DACDDD}" name="Site Engaged"/>
    <tableColumn id="3" xr3:uid="{D8DA7FAE-66FE-43A8-88A1-559AF10611A0}" name="Starting Date" dataDxfId="3"/>
    <tableColumn id="4" xr3:uid="{CD0B089B-A805-47B3-AB11-20D4B3CA4770}" name="End Date" dataDxfId="2"/>
    <tableColumn id="5" xr3:uid="{28FA3A4D-0661-44DC-BD0E-0A0923AC1DE1}" name="Duration (Days)" dataDxfId="1">
      <calculatedColumnFormula>IF(D2="", TODAY() - C2, D2 - C2)</calculatedColumnFormula>
    </tableColumn>
    <tableColumn id="6" xr3:uid="{51196BA6-F84B-4489-A985-3A3422CAA915}" name="status" dataDxfId="0">
      <calculatedColumnFormula>IF(C2="", "", IF(D2="", "Active", "Completed"))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7F2C28-CAE3-4514-9A0E-A39176DC2A9B}" name="Table2" displayName="Table2" ref="A1:B14" totalsRowShown="0">
  <autoFilter ref="A1:B14" xr:uid="{1B7F2C28-CAE3-4514-9A0E-A39176DC2A9B}"/>
  <tableColumns count="2">
    <tableColumn id="1" xr3:uid="{78A542E2-1EC1-4B29-972D-F9A2A8D6C84F}" name="Employee Name"/>
    <tableColumn id="2" xr3:uid="{A23005DE-A33A-4E46-95FD-99B2A50020E2}" name="Desig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7BBA-F236-4B50-BF3B-21745727071C}">
  <sheetPr codeName="Sheet1"/>
  <dimension ref="A1:F20"/>
  <sheetViews>
    <sheetView tabSelected="1" workbookViewId="0">
      <selection activeCell="J8" sqref="J8"/>
    </sheetView>
  </sheetViews>
  <sheetFormatPr defaultRowHeight="14.5" x14ac:dyDescent="0.35"/>
  <cols>
    <col min="1" max="1" width="16.26953125" customWidth="1"/>
    <col min="2" max="2" width="17.08984375" customWidth="1"/>
    <col min="3" max="3" width="13.6328125" style="1" customWidth="1"/>
    <col min="4" max="4" width="11.36328125" style="1" bestFit="1" customWidth="1"/>
    <col min="5" max="5" width="15.81640625" style="3" customWidth="1"/>
    <col min="6" max="6" width="12.6328125" customWidth="1"/>
  </cols>
  <sheetData>
    <row r="1" spans="1:6" x14ac:dyDescent="0.35">
      <c r="A1" t="s">
        <v>0</v>
      </c>
      <c r="B1" t="s">
        <v>1</v>
      </c>
      <c r="C1" s="1" t="s">
        <v>2</v>
      </c>
      <c r="D1" s="1" t="s">
        <v>3</v>
      </c>
      <c r="E1" s="3" t="s">
        <v>4</v>
      </c>
      <c r="F1" t="s">
        <v>49</v>
      </c>
    </row>
    <row r="2" spans="1:6" x14ac:dyDescent="0.35">
      <c r="A2" s="2" t="s">
        <v>5</v>
      </c>
      <c r="B2" t="s">
        <v>18</v>
      </c>
      <c r="C2" s="1">
        <v>46023</v>
      </c>
      <c r="E2" s="4">
        <f ca="1">IF(D2="", TODAY() - C2, D2 - C2)</f>
        <v>43</v>
      </c>
      <c r="F2" t="str">
        <f t="shared" ref="F2:F20" si="0">IF(C2="", "", IF(D2="", "Active", "Completed"))</f>
        <v>Active</v>
      </c>
    </row>
    <row r="3" spans="1:6" x14ac:dyDescent="0.35">
      <c r="A3" s="2" t="s">
        <v>6</v>
      </c>
      <c r="B3" t="s">
        <v>19</v>
      </c>
      <c r="C3" s="1">
        <v>46006</v>
      </c>
      <c r="E3" s="4">
        <f t="shared" ref="E3:E14" ca="1" si="1">IF(D3="", TODAY() - C3, D3 - C3)</f>
        <v>60</v>
      </c>
      <c r="F3" t="str">
        <f t="shared" si="0"/>
        <v>Active</v>
      </c>
    </row>
    <row r="4" spans="1:6" x14ac:dyDescent="0.35">
      <c r="A4" s="2" t="s">
        <v>7</v>
      </c>
      <c r="B4" t="s">
        <v>44</v>
      </c>
      <c r="C4" s="1">
        <v>46007</v>
      </c>
      <c r="E4" s="4">
        <f t="shared" ca="1" si="1"/>
        <v>59</v>
      </c>
      <c r="F4" t="str">
        <f t="shared" si="0"/>
        <v>Active</v>
      </c>
    </row>
    <row r="5" spans="1:6" x14ac:dyDescent="0.35">
      <c r="A5" s="2" t="s">
        <v>8</v>
      </c>
      <c r="B5" t="s">
        <v>20</v>
      </c>
      <c r="C5" s="1">
        <v>46008</v>
      </c>
      <c r="E5" s="4">
        <f t="shared" ca="1" si="1"/>
        <v>58</v>
      </c>
      <c r="F5" t="str">
        <f t="shared" si="0"/>
        <v>Active</v>
      </c>
    </row>
    <row r="6" spans="1:6" x14ac:dyDescent="0.35">
      <c r="A6" s="2" t="s">
        <v>9</v>
      </c>
      <c r="B6" t="s">
        <v>19</v>
      </c>
      <c r="C6" s="1">
        <v>45638</v>
      </c>
      <c r="E6" s="4">
        <f t="shared" ca="1" si="1"/>
        <v>428</v>
      </c>
      <c r="F6" t="str">
        <f t="shared" si="0"/>
        <v>Active</v>
      </c>
    </row>
    <row r="7" spans="1:6" x14ac:dyDescent="0.35">
      <c r="A7" s="2" t="s">
        <v>10</v>
      </c>
      <c r="B7" t="s">
        <v>19</v>
      </c>
      <c r="C7" s="1">
        <v>46061</v>
      </c>
      <c r="E7" s="4">
        <f t="shared" ca="1" si="1"/>
        <v>5</v>
      </c>
      <c r="F7" t="str">
        <f t="shared" si="0"/>
        <v>Active</v>
      </c>
    </row>
    <row r="8" spans="1:6" x14ac:dyDescent="0.35">
      <c r="A8" s="2" t="s">
        <v>11</v>
      </c>
      <c r="B8" t="s">
        <v>18</v>
      </c>
      <c r="C8" s="1">
        <v>45908</v>
      </c>
      <c r="E8" s="4">
        <f t="shared" ca="1" si="1"/>
        <v>158</v>
      </c>
      <c r="F8" t="str">
        <f t="shared" si="0"/>
        <v>Active</v>
      </c>
    </row>
    <row r="9" spans="1:6" x14ac:dyDescent="0.35">
      <c r="A9" s="2" t="s">
        <v>12</v>
      </c>
      <c r="B9" t="s">
        <v>18</v>
      </c>
      <c r="C9" s="1">
        <v>45909</v>
      </c>
      <c r="E9" s="4">
        <f t="shared" ca="1" si="1"/>
        <v>157</v>
      </c>
      <c r="F9" t="str">
        <f t="shared" si="0"/>
        <v>Active</v>
      </c>
    </row>
    <row r="10" spans="1:6" x14ac:dyDescent="0.35">
      <c r="A10" s="2" t="s">
        <v>13</v>
      </c>
      <c r="B10" t="s">
        <v>45</v>
      </c>
      <c r="C10" s="1">
        <v>45910</v>
      </c>
      <c r="E10" s="4">
        <f t="shared" ca="1" si="1"/>
        <v>156</v>
      </c>
      <c r="F10" t="str">
        <f t="shared" si="0"/>
        <v>Active</v>
      </c>
    </row>
    <row r="11" spans="1:6" x14ac:dyDescent="0.35">
      <c r="A11" s="2" t="s">
        <v>14</v>
      </c>
      <c r="B11" t="s">
        <v>45</v>
      </c>
      <c r="C11" s="1">
        <v>45911</v>
      </c>
      <c r="E11" s="4">
        <f t="shared" ca="1" si="1"/>
        <v>155</v>
      </c>
      <c r="F11" t="str">
        <f t="shared" si="0"/>
        <v>Active</v>
      </c>
    </row>
    <row r="12" spans="1:6" x14ac:dyDescent="0.35">
      <c r="A12" s="2" t="s">
        <v>15</v>
      </c>
      <c r="B12" t="s">
        <v>44</v>
      </c>
      <c r="C12" s="1">
        <v>45912</v>
      </c>
      <c r="E12" s="4">
        <f t="shared" ca="1" si="1"/>
        <v>154</v>
      </c>
      <c r="F12" t="str">
        <f t="shared" si="0"/>
        <v>Active</v>
      </c>
    </row>
    <row r="13" spans="1:6" x14ac:dyDescent="0.35">
      <c r="A13" s="2" t="s">
        <v>16</v>
      </c>
      <c r="B13" t="s">
        <v>19</v>
      </c>
      <c r="C13" s="1">
        <v>45913</v>
      </c>
      <c r="E13" s="4">
        <f t="shared" ca="1" si="1"/>
        <v>153</v>
      </c>
      <c r="F13" t="str">
        <f t="shared" si="0"/>
        <v>Active</v>
      </c>
    </row>
    <row r="14" spans="1:6" x14ac:dyDescent="0.35">
      <c r="A14" s="2" t="s">
        <v>17</v>
      </c>
      <c r="B14" t="s">
        <v>47</v>
      </c>
      <c r="C14" s="1">
        <v>45914</v>
      </c>
      <c r="E14" s="4">
        <f t="shared" ca="1" si="1"/>
        <v>152</v>
      </c>
      <c r="F14" t="str">
        <f t="shared" si="0"/>
        <v>Active</v>
      </c>
    </row>
    <row r="15" spans="1:6" x14ac:dyDescent="0.35">
      <c r="A15" s="2" t="s">
        <v>10</v>
      </c>
      <c r="B15" t="s">
        <v>18</v>
      </c>
      <c r="C15" s="1">
        <v>45954</v>
      </c>
      <c r="D15" s="1">
        <v>45974</v>
      </c>
      <c r="E15" s="4">
        <f t="shared" ref="E15:E20" ca="1" si="2">IF(D15="", TODAY() - C15, D15 - C15)</f>
        <v>20</v>
      </c>
      <c r="F15" t="str">
        <f t="shared" si="0"/>
        <v>Completed</v>
      </c>
    </row>
    <row r="16" spans="1:6" x14ac:dyDescent="0.35">
      <c r="A16" s="2" t="s">
        <v>10</v>
      </c>
      <c r="B16" t="s">
        <v>26</v>
      </c>
      <c r="C16" s="1">
        <v>45975</v>
      </c>
      <c r="D16" s="1">
        <v>45996</v>
      </c>
      <c r="E16" s="4">
        <f t="shared" ca="1" si="2"/>
        <v>21</v>
      </c>
      <c r="F16" t="str">
        <f t="shared" si="0"/>
        <v>Completed</v>
      </c>
    </row>
    <row r="17" spans="1:6" x14ac:dyDescent="0.35">
      <c r="A17" s="2" t="s">
        <v>10</v>
      </c>
      <c r="B17" t="s">
        <v>19</v>
      </c>
      <c r="C17" s="1">
        <v>45997</v>
      </c>
      <c r="D17" s="1">
        <v>46020</v>
      </c>
      <c r="E17" s="4">
        <f t="shared" ca="1" si="2"/>
        <v>23</v>
      </c>
      <c r="F17" t="str">
        <f t="shared" si="0"/>
        <v>Completed</v>
      </c>
    </row>
    <row r="18" spans="1:6" x14ac:dyDescent="0.35">
      <c r="A18" s="2" t="s">
        <v>10</v>
      </c>
      <c r="B18" t="s">
        <v>21</v>
      </c>
      <c r="C18" s="1">
        <v>46021</v>
      </c>
      <c r="D18" s="1">
        <v>46060</v>
      </c>
      <c r="E18" s="4">
        <f t="shared" ca="1" si="2"/>
        <v>39</v>
      </c>
      <c r="F18" t="str">
        <f t="shared" si="0"/>
        <v>Completed</v>
      </c>
    </row>
    <row r="19" spans="1:6" x14ac:dyDescent="0.35">
      <c r="A19" s="2" t="s">
        <v>11</v>
      </c>
      <c r="B19" t="s">
        <v>44</v>
      </c>
      <c r="C19" s="1">
        <v>45721</v>
      </c>
      <c r="D19" s="1">
        <v>45897</v>
      </c>
      <c r="E19" s="4">
        <f t="shared" ca="1" si="2"/>
        <v>176</v>
      </c>
      <c r="F19" t="str">
        <f t="shared" si="0"/>
        <v>Completed</v>
      </c>
    </row>
    <row r="20" spans="1:6" x14ac:dyDescent="0.35">
      <c r="A20" s="2" t="s">
        <v>11</v>
      </c>
      <c r="B20" t="s">
        <v>48</v>
      </c>
      <c r="C20" s="1">
        <v>45899</v>
      </c>
      <c r="D20" s="1">
        <v>45907</v>
      </c>
      <c r="E20" s="4">
        <f t="shared" ca="1" si="2"/>
        <v>8</v>
      </c>
      <c r="F20" t="str">
        <f t="shared" si="0"/>
        <v>Completed</v>
      </c>
    </row>
  </sheetData>
  <dataValidations disablePrompts="1" count="1">
    <dataValidation type="list" allowBlank="1" showInputMessage="1" showErrorMessage="1" error="Please select a valid site from the dropdown." sqref="B2:B20" xr:uid="{5A508ED2-B284-4C07-A36F-B689874C13D6}">
      <formula1>Sites</formula1>
    </dataValidation>
  </dataValidations>
  <hyperlinks>
    <hyperlink ref="A2:A14" location="profiles!A2" display="Dhirendra Kumar" xr:uid="{E0CB0805-C44E-45A2-8714-FFB53BE6731C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C42A-5671-4930-9EAD-9F086AF5C53E}">
  <sheetPr codeName="Sheet2"/>
  <dimension ref="A1:A17"/>
  <sheetViews>
    <sheetView workbookViewId="0">
      <selection activeCell="A18" sqref="A18"/>
    </sheetView>
  </sheetViews>
  <sheetFormatPr defaultRowHeight="14.5" x14ac:dyDescent="0.35"/>
  <cols>
    <col min="1" max="1" width="17" bestFit="1" customWidth="1"/>
  </cols>
  <sheetData>
    <row r="1" spans="1:1" x14ac:dyDescent="0.35">
      <c r="A1" t="s">
        <v>43</v>
      </c>
    </row>
    <row r="2" spans="1:1" x14ac:dyDescent="0.35">
      <c r="A2" t="s">
        <v>18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21</v>
      </c>
    </row>
    <row r="6" spans="1:1" x14ac:dyDescent="0.35">
      <c r="A6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0" spans="1:1" x14ac:dyDescent="0.35">
      <c r="A10" t="s">
        <v>26</v>
      </c>
    </row>
    <row r="11" spans="1:1" x14ac:dyDescent="0.35">
      <c r="A11" t="s">
        <v>27</v>
      </c>
    </row>
    <row r="12" spans="1:1" x14ac:dyDescent="0.35">
      <c r="A12" t="s">
        <v>28</v>
      </c>
    </row>
    <row r="13" spans="1:1" x14ac:dyDescent="0.35">
      <c r="A13" t="s">
        <v>44</v>
      </c>
    </row>
    <row r="14" spans="1:1" x14ac:dyDescent="0.35">
      <c r="A14" t="s">
        <v>45</v>
      </c>
    </row>
    <row r="15" spans="1:1" x14ac:dyDescent="0.35">
      <c r="A15" t="s">
        <v>46</v>
      </c>
    </row>
    <row r="16" spans="1:1" x14ac:dyDescent="0.35">
      <c r="A16" t="s">
        <v>47</v>
      </c>
    </row>
    <row r="17" spans="1:1" x14ac:dyDescent="0.35">
      <c r="A1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5A7F-872E-4CED-9C9A-7EA24D89C8B0}">
  <sheetPr codeName="Sheet3"/>
  <dimension ref="A1:B14"/>
  <sheetViews>
    <sheetView workbookViewId="0">
      <selection activeCell="A2" sqref="A2"/>
    </sheetView>
  </sheetViews>
  <sheetFormatPr defaultRowHeight="14.5" x14ac:dyDescent="0.35"/>
  <cols>
    <col min="1" max="1" width="16.26953125" customWidth="1"/>
    <col min="2" max="2" width="23.453125" bestFit="1" customWidth="1"/>
  </cols>
  <sheetData>
    <row r="1" spans="1:2" x14ac:dyDescent="0.35">
      <c r="A1" t="s">
        <v>0</v>
      </c>
      <c r="B1" t="s">
        <v>42</v>
      </c>
    </row>
    <row r="2" spans="1:2" x14ac:dyDescent="0.35">
      <c r="A2" t="s">
        <v>5</v>
      </c>
      <c r="B2" t="s">
        <v>29</v>
      </c>
    </row>
    <row r="3" spans="1:2" x14ac:dyDescent="0.35">
      <c r="A3" t="s">
        <v>6</v>
      </c>
      <c r="B3" t="s">
        <v>30</v>
      </c>
    </row>
    <row r="4" spans="1:2" x14ac:dyDescent="0.35">
      <c r="A4" t="s">
        <v>7</v>
      </c>
      <c r="B4" t="s">
        <v>31</v>
      </c>
    </row>
    <row r="5" spans="1:2" x14ac:dyDescent="0.35">
      <c r="A5" t="s">
        <v>8</v>
      </c>
      <c r="B5" t="s">
        <v>35</v>
      </c>
    </row>
    <row r="6" spans="1:2" x14ac:dyDescent="0.35">
      <c r="A6" t="s">
        <v>9</v>
      </c>
      <c r="B6" t="s">
        <v>32</v>
      </c>
    </row>
    <row r="7" spans="1:2" x14ac:dyDescent="0.35">
      <c r="A7" t="s">
        <v>10</v>
      </c>
      <c r="B7" t="s">
        <v>33</v>
      </c>
    </row>
    <row r="8" spans="1:2" x14ac:dyDescent="0.35">
      <c r="A8" t="s">
        <v>11</v>
      </c>
      <c r="B8" t="s">
        <v>34</v>
      </c>
    </row>
    <row r="9" spans="1:2" x14ac:dyDescent="0.35">
      <c r="A9" t="s">
        <v>12</v>
      </c>
      <c r="B9" t="s">
        <v>36</v>
      </c>
    </row>
    <row r="10" spans="1:2" x14ac:dyDescent="0.35">
      <c r="A10" t="s">
        <v>13</v>
      </c>
      <c r="B10" t="s">
        <v>37</v>
      </c>
    </row>
    <row r="11" spans="1:2" x14ac:dyDescent="0.35">
      <c r="A11" t="s">
        <v>14</v>
      </c>
      <c r="B11" t="s">
        <v>38</v>
      </c>
    </row>
    <row r="12" spans="1:2" x14ac:dyDescent="0.35">
      <c r="A12" t="s">
        <v>15</v>
      </c>
      <c r="B12" t="s">
        <v>39</v>
      </c>
    </row>
    <row r="13" spans="1:2" x14ac:dyDescent="0.35">
      <c r="A13" t="s">
        <v>16</v>
      </c>
      <c r="B13" t="s">
        <v>40</v>
      </c>
    </row>
    <row r="14" spans="1:2" x14ac:dyDescent="0.35">
      <c r="A14" t="s">
        <v>17</v>
      </c>
      <c r="B14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Engagements</vt:lpstr>
      <vt:lpstr>Sites_List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GIRI</dc:creator>
  <cp:lastModifiedBy>SUNIL GIRI</cp:lastModifiedBy>
  <dcterms:created xsi:type="dcterms:W3CDTF">2026-02-13T07:31:59Z</dcterms:created>
  <dcterms:modified xsi:type="dcterms:W3CDTF">2026-02-13T11:11:51Z</dcterms:modified>
</cp:coreProperties>
</file>