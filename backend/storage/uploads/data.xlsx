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deep\Desktop\Troyer-Nepal\backend\storage\uploads\"/>
    </mc:Choice>
  </mc:AlternateContent>
  <xr:revisionPtr revIDLastSave="0" documentId="13_ncr:1_{BA9081C7-FBA0-47EE-866C-8A71B04B229F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Engagements" sheetId="1" r:id="rId1"/>
    <sheet name="Sites_List" sheetId="2" r:id="rId2"/>
    <sheet name="profiles" sheetId="3" r:id="rId3"/>
    <sheet name="Tools" sheetId="7" r:id="rId4"/>
    <sheet name="Seti_Updated" sheetId="6" r:id="rId5"/>
    <sheet name="Khudi_Timeline" sheetId="8" r:id="rId6"/>
  </sheets>
  <externalReferences>
    <externalReference r:id="rId7"/>
  </externalReferences>
  <definedNames>
    <definedName name="Weeklist">[1]Sheet3!$D$4:$D$220</definedName>
  </definedNames>
  <calcPr calcId="191029"/>
</workbook>
</file>

<file path=xl/calcChain.xml><?xml version="1.0" encoding="utf-8"?>
<calcChain xmlns="http://schemas.openxmlformats.org/spreadsheetml/2006/main">
  <c r="B65" i="8" l="1"/>
  <c r="B64" i="8"/>
  <c r="B63" i="8"/>
  <c r="B62" i="8"/>
  <c r="B61" i="8"/>
  <c r="B60" i="8"/>
  <c r="B59" i="8"/>
  <c r="B58" i="8"/>
  <c r="B57" i="8"/>
  <c r="B56" i="8"/>
  <c r="B55" i="8"/>
  <c r="B52" i="8"/>
  <c r="B51" i="8"/>
  <c r="B50" i="8"/>
  <c r="B49" i="8"/>
  <c r="B48" i="8"/>
  <c r="B47" i="8"/>
  <c r="B45" i="8"/>
  <c r="B44" i="8"/>
  <c r="B43" i="8"/>
  <c r="B42" i="8"/>
  <c r="B41" i="8"/>
  <c r="B40" i="8"/>
  <c r="B38" i="8"/>
  <c r="B37" i="8"/>
  <c r="B36" i="8"/>
  <c r="B35" i="8"/>
  <c r="B34" i="8"/>
  <c r="B33" i="8"/>
  <c r="B32" i="8"/>
  <c r="B31" i="8"/>
  <c r="B30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</calcChain>
</file>

<file path=xl/sharedStrings.xml><?xml version="1.0" encoding="utf-8"?>
<sst xmlns="http://schemas.openxmlformats.org/spreadsheetml/2006/main" count="890" uniqueCount="353">
  <si>
    <t>id</t>
  </si>
  <si>
    <t>Employee Name</t>
  </si>
  <si>
    <t>Site Engaged</t>
  </si>
  <si>
    <t>Starting Date</t>
  </si>
  <si>
    <t>End Date</t>
  </si>
  <si>
    <t>Duration (Days)</t>
  </si>
  <si>
    <t>status</t>
  </si>
  <si>
    <t>ENG-00001</t>
  </si>
  <si>
    <t>Dhirendra Kumar</t>
  </si>
  <si>
    <t>Mewa Khola</t>
  </si>
  <si>
    <t>Active</t>
  </si>
  <si>
    <t>ENG-00002</t>
  </si>
  <si>
    <t>Nobeshor Yadav</t>
  </si>
  <si>
    <t>Seti khola</t>
  </si>
  <si>
    <t>ENG-00003</t>
  </si>
  <si>
    <t>Ganesh Budha</t>
  </si>
  <si>
    <t>Thulo Khola</t>
  </si>
  <si>
    <t>ENG-00004</t>
  </si>
  <si>
    <t>Shakti Bhushan</t>
  </si>
  <si>
    <t>Shyarpu khola</t>
  </si>
  <si>
    <t>ENG-00005</t>
  </si>
  <si>
    <t>Biraj Sharma</t>
  </si>
  <si>
    <t>ENG-00006</t>
  </si>
  <si>
    <t>Akshaya Kumar</t>
  </si>
  <si>
    <t>ENG-00007</t>
  </si>
  <si>
    <t>Ram Adhikari</t>
  </si>
  <si>
    <t>ENG-00008</t>
  </si>
  <si>
    <t>Sunil Halder</t>
  </si>
  <si>
    <t>ENG-00009</t>
  </si>
  <si>
    <t>Sunil Giri</t>
  </si>
  <si>
    <t>kathmandu Office</t>
  </si>
  <si>
    <t>ENG-00010</t>
  </si>
  <si>
    <t>Ayush Karki</t>
  </si>
  <si>
    <t>ENG-00011</t>
  </si>
  <si>
    <t>Dedej Kasem</t>
  </si>
  <si>
    <t>ENG-00012</t>
  </si>
  <si>
    <t>Sergio Feitosa</t>
  </si>
  <si>
    <t>ENG-00013</t>
  </si>
  <si>
    <t>Tobia Walpoth</t>
  </si>
  <si>
    <t>Italy</t>
  </si>
  <si>
    <t>ENG-00014</t>
  </si>
  <si>
    <t>Completed</t>
  </si>
  <si>
    <t>ENG-00015</t>
  </si>
  <si>
    <t>Chepe Khola</t>
  </si>
  <si>
    <t>ENG-00016</t>
  </si>
  <si>
    <t>ENG-00017</t>
  </si>
  <si>
    <t>Upper Khudi</t>
  </si>
  <si>
    <t>ENG-00018</t>
  </si>
  <si>
    <t>ENG-00019</t>
  </si>
  <si>
    <t>ON LEAVE</t>
  </si>
  <si>
    <t>Location</t>
  </si>
  <si>
    <t>Upper Myagdi</t>
  </si>
  <si>
    <t>Nyasim Khola</t>
  </si>
  <si>
    <t>Upper Myagdi 1 (FR)</t>
  </si>
  <si>
    <t>Luja Khola</t>
  </si>
  <si>
    <t>Dodhpokhari Chepe</t>
  </si>
  <si>
    <t>Sabha Khola B</t>
  </si>
  <si>
    <t>Delhi Office</t>
  </si>
  <si>
    <t>Designation</t>
  </si>
  <si>
    <t>EMP-00001</t>
  </si>
  <si>
    <t>Mechanical Manager</t>
  </si>
  <si>
    <t>EMP-00002</t>
  </si>
  <si>
    <t>Electrical Manager</t>
  </si>
  <si>
    <t>EMP-00003</t>
  </si>
  <si>
    <t>Electrician</t>
  </si>
  <si>
    <t>EMP-00004</t>
  </si>
  <si>
    <t>Electrical Coordinator (Site)</t>
  </si>
  <si>
    <t>EMP-00005</t>
  </si>
  <si>
    <t>Mechanical Engineer</t>
  </si>
  <si>
    <t>EMP-00006</t>
  </si>
  <si>
    <t>Senior Foreman</t>
  </si>
  <si>
    <t>EMP-00007</t>
  </si>
  <si>
    <t>Site Coordinator</t>
  </si>
  <si>
    <t>EMP-00008</t>
  </si>
  <si>
    <t>Welder</t>
  </si>
  <si>
    <t>EMP-00009</t>
  </si>
  <si>
    <t>Project site Manager</t>
  </si>
  <si>
    <t>EMP-00010</t>
  </si>
  <si>
    <t>Sales Engineer</t>
  </si>
  <si>
    <t>EMP-00011</t>
  </si>
  <si>
    <t>Electrical Engineer</t>
  </si>
  <si>
    <t>EMP-00012</t>
  </si>
  <si>
    <t>Sr. Mechanical Technician</t>
  </si>
  <si>
    <t>EMP-00013</t>
  </si>
  <si>
    <t>Automation Engineer</t>
  </si>
  <si>
    <t>EMP-00014</t>
  </si>
  <si>
    <t>pradeep koirala</t>
  </si>
  <si>
    <t>Manager</t>
  </si>
  <si>
    <t>Status</t>
  </si>
  <si>
    <t/>
  </si>
  <si>
    <t>ID</t>
  </si>
  <si>
    <t>Task Mode</t>
  </si>
  <si>
    <t>% Complete</t>
  </si>
  <si>
    <t>Task Name</t>
  </si>
  <si>
    <t>Duration (days)</t>
  </si>
  <si>
    <t>Start</t>
  </si>
  <si>
    <t>Finish</t>
  </si>
  <si>
    <t>Predecessors</t>
  </si>
  <si>
    <t>Upper Myagdi-1 (HPP)</t>
  </si>
  <si>
    <t>Contract milestones as per Contract</t>
  </si>
  <si>
    <t>Receiving Letter of Award</t>
  </si>
  <si>
    <t>Receiving Token amount money</t>
  </si>
  <si>
    <t>Submission of Preliminary Powerhouse drawing &amp;</t>
  </si>
  <si>
    <t>Official Signing of contract</t>
  </si>
  <si>
    <t>Opening of Letter of Credit (LC)</t>
  </si>
  <si>
    <t>Submission of PH Layout / SLD / Transformer Layout /</t>
  </si>
  <si>
    <t>7FS+14 days</t>
  </si>
  <si>
    <t>Dispatch of earthing materials</t>
  </si>
  <si>
    <t>7FS+42 days</t>
  </si>
  <si>
    <t>Dispatch of Crane</t>
  </si>
  <si>
    <t>7FS+182 days</t>
  </si>
  <si>
    <t>Submission of documents as per list</t>
  </si>
  <si>
    <t>7FS+259 days</t>
  </si>
  <si>
    <t>Dispatch of Generators and Transformers from India</t>
  </si>
  <si>
    <t>7FS+406 days</t>
  </si>
  <si>
    <t>Goods reached at Site (latest)</t>
  </si>
  <si>
    <t>7FS+448 days</t>
  </si>
  <si>
    <t>Dispatch of Switchyard equipment</t>
  </si>
  <si>
    <t>7FS+532 days</t>
  </si>
  <si>
    <t>Start of Erection works</t>
  </si>
  <si>
    <t>Commissioning of Power plant</t>
  </si>
  <si>
    <t>7FS+588 days</t>
  </si>
  <si>
    <t>Final Commissioning</t>
  </si>
  <si>
    <t>7FS+602 days</t>
  </si>
  <si>
    <t>Taking Over Certificate</t>
  </si>
  <si>
    <t>Troyer Hydro Scope</t>
  </si>
  <si>
    <t>Design &amp; Drawings</t>
  </si>
  <si>
    <t>Powerhouse GA &amp; Layout Drawings</t>
  </si>
  <si>
    <t>Earthing Design &amp; Drawings</t>
  </si>
  <si>
    <t>SLD Approval</t>
  </si>
  <si>
    <t>Turbine Casing/Draft Tube drawings(From ITA)</t>
  </si>
  <si>
    <t>Procurement and Supply From Troyer Hydro</t>
  </si>
  <si>
    <t>Powerhouse</t>
  </si>
  <si>
    <t>Earthing Works</t>
  </si>
  <si>
    <t>Dispatch of earthing Material</t>
  </si>
  <si>
    <t>Transport &amp; Custom Clearence (Nepal)</t>
  </si>
  <si>
    <t>Laying of earthmat</t>
  </si>
  <si>
    <t>EOT Crane (60/10 Ton Cap.)</t>
  </si>
  <si>
    <t>Order Finalization</t>
  </si>
  <si>
    <t>Manufacturing Including Drawings Approval</t>
  </si>
  <si>
    <t>FAT</t>
  </si>
  <si>
    <t>Transportation &amp; Custom Clearence</t>
  </si>
  <si>
    <t>Draft-tube</t>
  </si>
  <si>
    <t>24FS+1 day</t>
  </si>
  <si>
    <t>Manufacturing</t>
  </si>
  <si>
    <t>Spiral Casing</t>
  </si>
  <si>
    <t>Assembly/Inspection &amp; Testing</t>
  </si>
  <si>
    <t>Main Inlet Valve (Butterfly type)</t>
  </si>
  <si>
    <t>Ordering</t>
  </si>
  <si>
    <t>Design of Valve</t>
  </si>
  <si>
    <t>Manufacturing including FAT</t>
  </si>
  <si>
    <t>Turbine Components from India</t>
  </si>
  <si>
    <t>Issuance of PO from Troyer -ITA</t>
  </si>
  <si>
    <t>Issuance of PO to Supplier</t>
  </si>
  <si>
    <t>51FS+7 days</t>
  </si>
  <si>
    <t>Bearings</t>
  </si>
  <si>
    <t>Shafts</t>
  </si>
  <si>
    <t>Other Misc. Turbine Components</t>
  </si>
  <si>
    <t>Generator</t>
  </si>
  <si>
    <t>Order Date</t>
  </si>
  <si>
    <t>Dispatch</t>
  </si>
  <si>
    <t>Oil Filtration System</t>
  </si>
  <si>
    <t>60</t>
  </si>
  <si>
    <t>Supply</t>
  </si>
  <si>
    <t>Cables &amp; associated Items</t>
  </si>
  <si>
    <t>Penstock Protection Valve</t>
  </si>
  <si>
    <t>HOT Crane (20 Ton Cap.)</t>
  </si>
  <si>
    <t>Switchyard &amp; Switchgear</t>
  </si>
  <si>
    <t>NGT Panels</t>
  </si>
  <si>
    <t>Power Transformers</t>
  </si>
  <si>
    <t>Order date</t>
  </si>
  <si>
    <t>Testing</t>
  </si>
  <si>
    <t>Curent Transformers &amp; Voltage Transformers</t>
  </si>
  <si>
    <t>Manufacturing and Supply to site</t>
  </si>
  <si>
    <t>Auxillary Transformers/Isolation Transformer</t>
  </si>
  <si>
    <t>Lightening Arresters</t>
  </si>
  <si>
    <t>LAVT Panels</t>
  </si>
  <si>
    <t>Circuit Breakers</t>
  </si>
  <si>
    <t>Disconnecting Switches</t>
  </si>
  <si>
    <t>Protection Relays</t>
  </si>
  <si>
    <t>Switchyard Supporting Steel Structure</t>
  </si>
  <si>
    <t>Conductor</t>
  </si>
  <si>
    <t>Other Misc. Items</t>
  </si>
  <si>
    <t>DG Sets</t>
  </si>
  <si>
    <t>DC UPS Syatems</t>
  </si>
  <si>
    <t>Illumination System</t>
  </si>
  <si>
    <t>Fire protection System</t>
  </si>
  <si>
    <t>Video Surveillance Systems</t>
  </si>
  <si>
    <t>HVAC Systems</t>
  </si>
  <si>
    <t>Erection Activities</t>
  </si>
  <si>
    <t>EOT Crane (60/10 Ton Cap.) Installation &amp;</t>
  </si>
  <si>
    <t>Mechanical Works</t>
  </si>
  <si>
    <t>Mechanical assembly draft tube MG1</t>
  </si>
  <si>
    <t>Mechanical assembly draft tube MG2</t>
  </si>
  <si>
    <t>Mechanical assembly draft tube MG3</t>
  </si>
  <si>
    <t>Customer concreting draft tubes (5 layers min.)</t>
  </si>
  <si>
    <t>Mechanical assembly cones + spirals + MIVs +</t>
  </si>
  <si>
    <t>Customer concreting spirals and MIVs</t>
  </si>
  <si>
    <t>Mechanical assembly distributors + Shaft Seal +</t>
  </si>
  <si>
    <t>MMGec1hanical assembly distributors + Shaft Seal +</t>
  </si>
  <si>
    <t>126 Mechanical assembly distributors + Shaft Seal + water and air circuits + bearing + generator axis MG2</t>
  </si>
  <si>
    <t>MMGec2hanical assembly distributors + Shaft Seal +</t>
  </si>
  <si>
    <t>127 Mechanical assembly distributors + Shaft Seal + water and air circuits + bearing + generator axis MG3</t>
  </si>
  <si>
    <t>MMGec3hanical assembly generator MG1</t>
  </si>
  <si>
    <t>126 Mechanical assembly generator MG1</t>
  </si>
  <si>
    <t>Mechanical assembly generator MG2</t>
  </si>
  <si>
    <t>Mechanical assembly generator MG3</t>
  </si>
  <si>
    <t>Customer concreting generators anchor bolts</t>
  </si>
  <si>
    <t>Mech. assembly finalization (piping) MG1</t>
  </si>
  <si>
    <t>Mech. assembly finalization (piping) MG2</t>
  </si>
  <si>
    <t>Mech. assembly finalization (piping) MG3</t>
  </si>
  <si>
    <t>Mechanical assembly PHSS</t>
  </si>
  <si>
    <t>Mechanical assembly RESS</t>
  </si>
  <si>
    <t>Electrical installation</t>
  </si>
  <si>
    <t>Cabletreyworks Control room</t>
  </si>
  <si>
    <t>Cabletreyworks Machine room</t>
  </si>
  <si>
    <t>Cabletreyworks PHSS</t>
  </si>
  <si>
    <t>Cabletreyworks RESS</t>
  </si>
  <si>
    <t>Laying and Electrical cabling MG1</t>
  </si>
  <si>
    <t>Laying and Electrical cabling MG2</t>
  </si>
  <si>
    <t>Laying and Electrical cabling MG3</t>
  </si>
  <si>
    <t>Electrical cabling PHSS</t>
  </si>
  <si>
    <t>Electrical cabling RESS</t>
  </si>
  <si>
    <t>Commissioning</t>
  </si>
  <si>
    <t>Penstock ready from customer</t>
  </si>
  <si>
    <t>135FF</t>
  </si>
  <si>
    <t>HV line ready from customer</t>
  </si>
  <si>
    <t>PPV ready to fill water</t>
  </si>
  <si>
    <t>Internet ready from customer</t>
  </si>
  <si>
    <t>Signal testing powerhouse</t>
  </si>
  <si>
    <t>Dry commissioning powerhouse</t>
  </si>
  <si>
    <t>Wet commissioning powerhouse</t>
  </si>
  <si>
    <t>Signal testing PHSS</t>
  </si>
  <si>
    <t>Dry commissioning PHSS</t>
  </si>
  <si>
    <t>Signal testing RESS</t>
  </si>
  <si>
    <t>Dry commissioning RESS</t>
  </si>
  <si>
    <t>NEA acceptance and parallel operation</t>
  </si>
  <si>
    <t>Preparation HPP operating manual</t>
  </si>
  <si>
    <t>163FF</t>
  </si>
  <si>
    <t>Trial period</t>
  </si>
  <si>
    <t>Provisional Acceptance</t>
  </si>
  <si>
    <t>162</t>
  </si>
  <si>
    <t>Final Acceptance</t>
  </si>
  <si>
    <t>TOOLS FROM THULO KHOLA</t>
  </si>
  <si>
    <t>S.N</t>
  </si>
  <si>
    <t>Item</t>
  </si>
  <si>
    <t>UoM</t>
  </si>
  <si>
    <t>Qty</t>
  </si>
  <si>
    <t>Remarks</t>
  </si>
  <si>
    <t xml:space="preserve">TIG Welding Machine </t>
  </si>
  <si>
    <t>Nos</t>
  </si>
  <si>
    <t>seti container</t>
  </si>
  <si>
    <t>Argon Welding Machine (3 phase)</t>
  </si>
  <si>
    <t xml:space="preserve">Hydraulic Aluminium Tap bender Machine </t>
  </si>
  <si>
    <t>Set</t>
  </si>
  <si>
    <t xml:space="preserve">Air Compressor Machine </t>
  </si>
  <si>
    <t xml:space="preserve">Vacuum Cleaner Machine </t>
  </si>
  <si>
    <t xml:space="preserve">Oil Filtration Machine </t>
  </si>
  <si>
    <t>thulo khola</t>
  </si>
  <si>
    <t>Hydraulic Jack (50 Ton) (10 Ton) – 2 pcs each</t>
  </si>
  <si>
    <t xml:space="preserve"> Safety Belt</t>
  </si>
  <si>
    <t>Pcs</t>
  </si>
  <si>
    <t xml:space="preserve">Cut-off Machine </t>
  </si>
  <si>
    <t>AG7 Grinding Machine</t>
  </si>
  <si>
    <t xml:space="preserve">Electrode Oven Machine </t>
  </si>
  <si>
    <t>Tabletop Ladles</t>
  </si>
  <si>
    <t xml:space="preserve">Air Blower Machine </t>
  </si>
  <si>
    <t>Hot Air Gun</t>
  </si>
  <si>
    <t xml:space="preserve"> Hammer Drilling (hammer drill)</t>
  </si>
  <si>
    <t xml:space="preserve">Torque Wrench 2000 R </t>
  </si>
  <si>
    <t>Torque Wrench 160 R</t>
  </si>
  <si>
    <t xml:space="preserve">Hydraulic Crimping </t>
  </si>
  <si>
    <t>Chain Block</t>
  </si>
  <si>
    <t>10 Ton</t>
  </si>
  <si>
    <t>6 Ton</t>
  </si>
  <si>
    <t xml:space="preserve">5 Ton </t>
  </si>
  <si>
    <t xml:space="preserve">3 Ton </t>
  </si>
  <si>
    <t>Spirit Level</t>
  </si>
  <si>
    <t>Small</t>
  </si>
  <si>
    <t>Large</t>
  </si>
  <si>
    <t xml:space="preserve">Medium </t>
  </si>
  <si>
    <t xml:space="preserve">AG 4 Grinding Machine </t>
  </si>
  <si>
    <t>Mini Tap Bender Machine</t>
  </si>
  <si>
    <t xml:space="preserve">Serial Print Machine  </t>
  </si>
  <si>
    <t>Crane Lifting Belt</t>
  </si>
  <si>
    <t xml:space="preserve">3 Ton 6 meter </t>
  </si>
  <si>
    <t xml:space="preserve">3 Ton 4 meter </t>
  </si>
  <si>
    <t xml:space="preserve">2 Ton 4 meter </t>
  </si>
  <si>
    <t xml:space="preserve">4 Ton 2 meter </t>
  </si>
  <si>
    <t xml:space="preserve">1 Ton 1 meter </t>
  </si>
  <si>
    <t xml:space="preserve">Wrench </t>
  </si>
  <si>
    <t xml:space="preserve">Taparia Sockets (Taparia brand socket set) </t>
  </si>
  <si>
    <t xml:space="preserve">Megger Machine (Megger insulation tester) </t>
  </si>
  <si>
    <t xml:space="preserve">Handling Manual Hydraulic Pallet Truck Lifting (capacity 2000kg) </t>
  </si>
  <si>
    <t xml:space="preserve">Cordless Impact Wrench </t>
  </si>
  <si>
    <t xml:space="preserve">Bench Vise </t>
  </si>
  <si>
    <t>Hydraulic Air Torque Pump Machine</t>
  </si>
  <si>
    <t>Toptul Tool Set</t>
  </si>
  <si>
    <t xml:space="preserve">Allen Key Bits Toptul </t>
  </si>
  <si>
    <t>Conductors Cutter Machine</t>
  </si>
  <si>
    <t>Digital Multimeter</t>
  </si>
  <si>
    <t xml:space="preserve">Clamp Meter </t>
  </si>
  <si>
    <t xml:space="preserve">Digital Tachometer </t>
  </si>
  <si>
    <t xml:space="preserve">Master Level </t>
  </si>
  <si>
    <t>Digital Leakage Machine</t>
  </si>
  <si>
    <t xml:space="preserve">Digital Vernier Caliper </t>
  </si>
  <si>
    <t>Analog Vernier Caliper</t>
  </si>
  <si>
    <t>Installation</t>
  </si>
  <si>
    <t>Task Name / Milestone</t>
  </si>
  <si>
    <t>Start Date</t>
  </si>
  <si>
    <t>Finish Date</t>
  </si>
  <si>
    <t>Notes / Section</t>
  </si>
  <si>
    <t>KHUDI VP</t>
  </si>
  <si>
    <t xml:space="preserve">Unit 1 </t>
  </si>
  <si>
    <t>TURBINE</t>
  </si>
  <si>
    <t>First stage embedded parts &amp; pipes</t>
  </si>
  <si>
    <t>Turbine housing parts &amp; pipes</t>
  </si>
  <si>
    <t>Distributor pipe installation</t>
  </si>
  <si>
    <t>Distributor pipe concreting</t>
  </si>
  <si>
    <t>Concreting up to Machine hall</t>
  </si>
  <si>
    <t xml:space="preserve">Main inlet valve </t>
  </si>
  <si>
    <t>Concrete Second stage</t>
  </si>
  <si>
    <t>Runner Installation</t>
  </si>
  <si>
    <t>Test prior to handover to commissioning</t>
  </si>
  <si>
    <t>GENERATOR U1</t>
  </si>
  <si>
    <t>GEN and bearing preparation</t>
  </si>
  <si>
    <t>Main erection</t>
  </si>
  <si>
    <t>Final erection and allignment check</t>
  </si>
  <si>
    <t>Foundation Second Stage</t>
  </si>
  <si>
    <t>Piping</t>
  </si>
  <si>
    <t>Diagnostics &amp; Monitoring</t>
  </si>
  <si>
    <t>EPS U1</t>
  </si>
  <si>
    <t>Secondary Earthing System</t>
  </si>
  <si>
    <t>Cable supports &amp; Cable tray</t>
  </si>
  <si>
    <t>Cabling</t>
  </si>
  <si>
    <t>Low Voltage AC/DC Distribution and MCC</t>
  </si>
  <si>
    <t>Excitation System incl. Excitation Transformer</t>
  </si>
  <si>
    <t>Unit Control and Protection System</t>
  </si>
  <si>
    <t>Unit 2</t>
  </si>
  <si>
    <t>Main inlet valve</t>
  </si>
  <si>
    <t>GENERATOR U2</t>
  </si>
  <si>
    <t>EPS U2</t>
  </si>
  <si>
    <t>Common EPS</t>
  </si>
  <si>
    <t>Earthing System (SY)</t>
  </si>
  <si>
    <t>132 KV Switchyard Erection of Steel Structures</t>
  </si>
  <si>
    <t>Equipments (HV / MV / LV)</t>
  </si>
  <si>
    <t>Installation of Power and Auxilliary Transformer</t>
  </si>
  <si>
    <t>Cable tray work on control room and switchyard</t>
  </si>
  <si>
    <t>Control cable laying and termination works from control cabinets to MV panels and SY. Power cable laying and termination works from MV to SY.</t>
  </si>
  <si>
    <t>Power cable kit preparation and connection from Unit 1 and 2 to MV panels</t>
  </si>
  <si>
    <t>Installation of DG Set</t>
  </si>
  <si>
    <t>Cabling &amp; Cable Support System (DG)</t>
  </si>
  <si>
    <t>Other Systems (Lighting System, Fire Fighting System, Domestic Systems etc..)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</si>
</sst>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\-mmm\-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9" fontId="0" fillId="0" borderId="2" xfId="0" applyNumberFormat="1" applyBorder="1"/>
    <xf numFmtId="0" fontId="0" fillId="0" borderId="2" xfId="0" applyBorder="1" applyAlignment="1">
      <alignment vertical="top" wrapText="1"/>
    </xf>
    <xf numFmtId="2" fontId="0" fillId="0" borderId="2" xfId="0" applyNumberFormat="1" applyBorder="1"/>
    <xf numFmtId="165" fontId="0" fillId="0" borderId="2" xfId="0" applyNumberForma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left" vertical="center" indent="1"/>
    </xf>
    <xf numFmtId="0" fontId="0" fillId="0" borderId="1" xfId="0" applyBorder="1"/>
    <xf numFmtId="0" fontId="5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5" fontId="6" fillId="3" borderId="1" xfId="0" applyNumberFormat="1" applyFont="1" applyFill="1" applyBorder="1" applyAlignment="1">
      <alignment vertical="center" textRotation="90"/>
    </xf>
    <xf numFmtId="0" fontId="3" fillId="0" borderId="1" xfId="0" applyFont="1" applyBorder="1" applyAlignment="1">
      <alignment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5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" fontId="0" fillId="4" borderId="1" xfId="0" applyNumberFormat="1" applyFill="1" applyBorder="1" applyAlignment="1">
      <alignment horizontal="center" vertical="center" wrapText="1"/>
    </xf>
    <xf numFmtId="15" fontId="0" fillId="4" borderId="1" xfId="0" applyNumberFormat="1" applyFill="1" applyBorder="1" applyAlignment="1">
      <alignment vertical="center" wrapText="1"/>
    </xf>
    <xf numFmtId="15" fontId="0" fillId="0" borderId="1" xfId="0" applyNumberFormat="1" applyBorder="1"/>
    <xf numFmtId="15" fontId="0" fillId="4" borderId="1" xfId="0" applyNumberFormat="1" applyFill="1" applyBorder="1"/>
    <xf numFmtId="0" fontId="3" fillId="0" borderId="1" xfId="0" applyFont="1" applyBorder="1"/>
    <xf numFmtId="15" fontId="0" fillId="0" borderId="1" xfId="0" applyNumberFormat="1" applyBorder="1" applyAlignment="1">
      <alignment vertical="center"/>
    </xf>
  </cellXfs>
  <cellStyles count="1">
    <cellStyle name="Normal" xfId="0" builtinId="0"/>
  </cellStyles>
  <dxfs count="1">
    <dxf>
      <fill>
        <patternFill>
          <bgColor theme="9" tint="-0.24994659260841701"/>
        </patternFill>
      </fill>
      <border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deep\AppData\Local\Packages\5319275A.WhatsAppDesktop_cv1g1gvanyjgm\LocalState\sessions\7DC0588E930ADF51EA2E339E4318B0432A154538\transfers\2026-09\Upper%20Myagdi%201.xlsx" TargetMode="External"/><Relationship Id="rId1" Type="http://schemas.openxmlformats.org/officeDocument/2006/relationships/externalLinkPath" Target="/Users/pradeep/AppData/Local/Packages/5319275A.WhatsAppDesktop_cv1g1gvanyjgm/LocalState/sessions/7DC0588E930ADF51EA2E339E4318B0432A154538/transfers/2026-09/Upper%20Myagdi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</sheetNames>
    <sheetDataSet>
      <sheetData sheetId="0"/>
      <sheetData sheetId="1">
        <row r="4">
          <cell r="D4" t="str">
            <v>2025-WK28</v>
          </cell>
        </row>
        <row r="5">
          <cell r="D5" t="str">
            <v>2025-WK29</v>
          </cell>
        </row>
        <row r="6">
          <cell r="D6" t="str">
            <v>2025-WK30</v>
          </cell>
        </row>
        <row r="7">
          <cell r="D7" t="str">
            <v>2025-WK31</v>
          </cell>
        </row>
        <row r="8">
          <cell r="D8" t="str">
            <v>2025-WK32</v>
          </cell>
        </row>
        <row r="9">
          <cell r="D9" t="str">
            <v>2025-WK33</v>
          </cell>
        </row>
        <row r="10">
          <cell r="D10" t="str">
            <v>2025-WK34</v>
          </cell>
        </row>
        <row r="11">
          <cell r="D11" t="str">
            <v>2025-WK35</v>
          </cell>
        </row>
        <row r="12">
          <cell r="D12" t="str">
            <v>2025-WK36</v>
          </cell>
        </row>
        <row r="13">
          <cell r="D13" t="str">
            <v>2025-WK37</v>
          </cell>
        </row>
        <row r="14">
          <cell r="D14" t="str">
            <v>2025-WK38</v>
          </cell>
        </row>
        <row r="15">
          <cell r="D15" t="str">
            <v>2025-WK39</v>
          </cell>
        </row>
        <row r="16">
          <cell r="D16" t="str">
            <v>2025-WK40</v>
          </cell>
        </row>
        <row r="17">
          <cell r="D17" t="str">
            <v>2025-WK41</v>
          </cell>
        </row>
        <row r="18">
          <cell r="D18" t="str">
            <v>2025-WK42</v>
          </cell>
        </row>
        <row r="19">
          <cell r="D19" t="str">
            <v>2025-WK43</v>
          </cell>
        </row>
        <row r="20">
          <cell r="D20" t="str">
            <v>2025-WK44</v>
          </cell>
        </row>
        <row r="21">
          <cell r="D21" t="str">
            <v>2025-WK45</v>
          </cell>
        </row>
        <row r="22">
          <cell r="D22" t="str">
            <v>2025-WK46</v>
          </cell>
        </row>
        <row r="23">
          <cell r="D23" t="str">
            <v>2025-WK47</v>
          </cell>
        </row>
        <row r="24">
          <cell r="D24" t="str">
            <v>2025-WK48</v>
          </cell>
        </row>
        <row r="25">
          <cell r="D25" t="str">
            <v>2025-WK49</v>
          </cell>
        </row>
        <row r="26">
          <cell r="D26" t="str">
            <v>2025-WK50</v>
          </cell>
        </row>
        <row r="27">
          <cell r="D27" t="str">
            <v>2025-WK51</v>
          </cell>
        </row>
        <row r="28">
          <cell r="D28" t="str">
            <v>2025-WK52</v>
          </cell>
        </row>
        <row r="29">
          <cell r="D29" t="str">
            <v>2026-WK01</v>
          </cell>
        </row>
        <row r="30">
          <cell r="D30" t="str">
            <v>2026-WK02</v>
          </cell>
        </row>
        <row r="31">
          <cell r="D31" t="str">
            <v>2026-WK03</v>
          </cell>
        </row>
        <row r="32">
          <cell r="D32" t="str">
            <v>2026-WK04</v>
          </cell>
        </row>
        <row r="33">
          <cell r="D33" t="str">
            <v>2026-WK05</v>
          </cell>
        </row>
        <row r="34">
          <cell r="D34" t="str">
            <v>2026-WK06</v>
          </cell>
        </row>
        <row r="35">
          <cell r="D35" t="str">
            <v>2026-WK07</v>
          </cell>
        </row>
        <row r="36">
          <cell r="D36" t="str">
            <v>2026-WK08</v>
          </cell>
        </row>
        <row r="37">
          <cell r="D37" t="str">
            <v>2026-WK09</v>
          </cell>
        </row>
        <row r="38">
          <cell r="D38" t="str">
            <v>2026-WK10</v>
          </cell>
        </row>
        <row r="39">
          <cell r="D39" t="str">
            <v>2026-WK11</v>
          </cell>
        </row>
        <row r="40">
          <cell r="D40" t="str">
            <v>2026-WK12</v>
          </cell>
        </row>
        <row r="41">
          <cell r="D41" t="str">
            <v>2026-WK13</v>
          </cell>
        </row>
        <row r="42">
          <cell r="D42" t="str">
            <v>2026-WK14</v>
          </cell>
        </row>
        <row r="43">
          <cell r="D43" t="str">
            <v>2026-WK15</v>
          </cell>
        </row>
        <row r="44">
          <cell r="D44" t="str">
            <v>2026-WK16</v>
          </cell>
        </row>
        <row r="45">
          <cell r="D45" t="str">
            <v>2026-WK17</v>
          </cell>
        </row>
        <row r="46">
          <cell r="D46" t="str">
            <v>2026-WK18</v>
          </cell>
        </row>
        <row r="47">
          <cell r="D47" t="str">
            <v>2026-WK19</v>
          </cell>
        </row>
        <row r="48">
          <cell r="D48" t="str">
            <v>2026-WK20</v>
          </cell>
        </row>
        <row r="49">
          <cell r="D49" t="str">
            <v>2026-WK21</v>
          </cell>
        </row>
        <row r="50">
          <cell r="D50" t="str">
            <v>2026-WK22</v>
          </cell>
        </row>
        <row r="51">
          <cell r="D51" t="str">
            <v>2026-WK23</v>
          </cell>
        </row>
        <row r="52">
          <cell r="D52" t="str">
            <v>2026-WK24</v>
          </cell>
        </row>
        <row r="53">
          <cell r="D53" t="str">
            <v>2026-WK25</v>
          </cell>
        </row>
        <row r="54">
          <cell r="D54" t="str">
            <v>2026-WK26</v>
          </cell>
        </row>
        <row r="55">
          <cell r="D55" t="str">
            <v>2026-WK27</v>
          </cell>
        </row>
        <row r="56">
          <cell r="D56" t="str">
            <v>2026-WK28</v>
          </cell>
        </row>
        <row r="57">
          <cell r="D57" t="str">
            <v>2026-WK29</v>
          </cell>
        </row>
        <row r="58">
          <cell r="D58" t="str">
            <v>2026-WK30</v>
          </cell>
        </row>
        <row r="59">
          <cell r="D59" t="str">
            <v>2026-WK31</v>
          </cell>
        </row>
        <row r="60">
          <cell r="D60" t="str">
            <v>2026-WK32</v>
          </cell>
        </row>
        <row r="61">
          <cell r="D61" t="str">
            <v>2026-WK33</v>
          </cell>
        </row>
        <row r="62">
          <cell r="D62" t="str">
            <v>2026-WK34</v>
          </cell>
        </row>
        <row r="63">
          <cell r="D63" t="str">
            <v>2026-WK35</v>
          </cell>
        </row>
        <row r="64">
          <cell r="D64" t="str">
            <v>2026-WK36</v>
          </cell>
        </row>
        <row r="65">
          <cell r="D65" t="str">
            <v>2026-WK37</v>
          </cell>
        </row>
        <row r="66">
          <cell r="D66" t="str">
            <v>2026-WK38</v>
          </cell>
        </row>
        <row r="67">
          <cell r="D67" t="str">
            <v>2026-WK39</v>
          </cell>
        </row>
        <row r="68">
          <cell r="D68" t="str">
            <v>2026-WK40</v>
          </cell>
        </row>
        <row r="69">
          <cell r="D69" t="str">
            <v>2026-WK41</v>
          </cell>
        </row>
        <row r="70">
          <cell r="D70" t="str">
            <v>2026-WK42</v>
          </cell>
        </row>
        <row r="71">
          <cell r="D71" t="str">
            <v>2026-WK43</v>
          </cell>
        </row>
        <row r="72">
          <cell r="D72" t="str">
            <v>2026-WK44</v>
          </cell>
        </row>
        <row r="73">
          <cell r="D73" t="str">
            <v>2026-WK45</v>
          </cell>
        </row>
        <row r="74">
          <cell r="D74" t="str">
            <v>2026-WK46</v>
          </cell>
        </row>
        <row r="75">
          <cell r="D75" t="str">
            <v>2026-WK47</v>
          </cell>
        </row>
        <row r="76">
          <cell r="D76" t="str">
            <v>2026-WK48</v>
          </cell>
        </row>
        <row r="77">
          <cell r="D77" t="str">
            <v>2026-WK49</v>
          </cell>
        </row>
        <row r="78">
          <cell r="D78" t="str">
            <v>2026-WK50</v>
          </cell>
        </row>
        <row r="79">
          <cell r="D79" t="str">
            <v>2026-WK51</v>
          </cell>
        </row>
        <row r="80">
          <cell r="D80" t="str">
            <v>2026-WK52</v>
          </cell>
        </row>
        <row r="81">
          <cell r="D81" t="str">
            <v>2026-WK53</v>
          </cell>
        </row>
        <row r="82">
          <cell r="D82" t="str">
            <v>2027-WK01</v>
          </cell>
        </row>
        <row r="83">
          <cell r="D83" t="str">
            <v>2027-WK02</v>
          </cell>
        </row>
        <row r="84">
          <cell r="D84" t="str">
            <v>2027-WK03</v>
          </cell>
        </row>
        <row r="85">
          <cell r="D85" t="str">
            <v>2027-WK04</v>
          </cell>
        </row>
        <row r="86">
          <cell r="D86" t="str">
            <v>2027-WK05</v>
          </cell>
        </row>
        <row r="87">
          <cell r="D87" t="str">
            <v>2027-WK06</v>
          </cell>
        </row>
        <row r="88">
          <cell r="D88" t="str">
            <v>2027-WK07</v>
          </cell>
        </row>
        <row r="89">
          <cell r="D89" t="str">
            <v>2027-WK08</v>
          </cell>
        </row>
        <row r="90">
          <cell r="D90" t="str">
            <v>2027-WK09</v>
          </cell>
        </row>
        <row r="91">
          <cell r="D91" t="str">
            <v>2027-WK10</v>
          </cell>
        </row>
        <row r="92">
          <cell r="D92" t="str">
            <v>2027-WK11</v>
          </cell>
        </row>
        <row r="93">
          <cell r="D93" t="str">
            <v>2027-WK12</v>
          </cell>
        </row>
        <row r="94">
          <cell r="D94" t="str">
            <v>2027-WK13</v>
          </cell>
        </row>
        <row r="95">
          <cell r="D95" t="str">
            <v>2027-WK14</v>
          </cell>
        </row>
        <row r="96">
          <cell r="D96" t="str">
            <v>2027-WK15</v>
          </cell>
        </row>
        <row r="97">
          <cell r="D97" t="str">
            <v>2027-WK16</v>
          </cell>
        </row>
        <row r="98">
          <cell r="D98" t="str">
            <v>2027-WK17</v>
          </cell>
        </row>
        <row r="99">
          <cell r="D99" t="str">
            <v>2027-WK18</v>
          </cell>
        </row>
        <row r="100">
          <cell r="D100" t="str">
            <v>2027-WK19</v>
          </cell>
        </row>
        <row r="101">
          <cell r="D101" t="str">
            <v>2027-WK20</v>
          </cell>
        </row>
        <row r="102">
          <cell r="D102" t="str">
            <v>2027-WK21</v>
          </cell>
        </row>
        <row r="103">
          <cell r="D103" t="str">
            <v>2027-WK22</v>
          </cell>
        </row>
        <row r="104">
          <cell r="D104" t="str">
            <v>2027-WK23</v>
          </cell>
        </row>
        <row r="105">
          <cell r="D105" t="str">
            <v>2027-WK24</v>
          </cell>
        </row>
        <row r="106">
          <cell r="D106" t="str">
            <v>2027-WK25</v>
          </cell>
        </row>
        <row r="107">
          <cell r="D107" t="str">
            <v>2027-WK26</v>
          </cell>
        </row>
        <row r="108">
          <cell r="D108" t="str">
            <v>2027-WK27</v>
          </cell>
        </row>
        <row r="109">
          <cell r="D109" t="str">
            <v>2027-WK28</v>
          </cell>
        </row>
        <row r="110">
          <cell r="D110" t="str">
            <v>2027-WK29</v>
          </cell>
        </row>
        <row r="111">
          <cell r="D111" t="str">
            <v>2027-WK30</v>
          </cell>
        </row>
        <row r="112">
          <cell r="D112" t="str">
            <v>2027-WK31</v>
          </cell>
        </row>
        <row r="113">
          <cell r="D113" t="str">
            <v>2027-WK32</v>
          </cell>
        </row>
        <row r="114">
          <cell r="D114" t="str">
            <v>2027-WK33</v>
          </cell>
        </row>
        <row r="115">
          <cell r="D115" t="str">
            <v>2027-WK34</v>
          </cell>
        </row>
        <row r="116">
          <cell r="D116" t="str">
            <v>2027-WK35</v>
          </cell>
        </row>
        <row r="117">
          <cell r="D117" t="str">
            <v>2027-WK36</v>
          </cell>
        </row>
        <row r="118">
          <cell r="D118" t="str">
            <v>2027-WK37</v>
          </cell>
        </row>
        <row r="119">
          <cell r="D119" t="str">
            <v>2027-WK38</v>
          </cell>
        </row>
        <row r="120">
          <cell r="D120" t="str">
            <v>2027-WK39</v>
          </cell>
        </row>
        <row r="121">
          <cell r="D121" t="str">
            <v>2027-WK40</v>
          </cell>
        </row>
        <row r="122">
          <cell r="D122" t="str">
            <v>2027-WK41</v>
          </cell>
        </row>
        <row r="123">
          <cell r="D123" t="str">
            <v>2027-WK42</v>
          </cell>
        </row>
        <row r="124">
          <cell r="D124" t="str">
            <v>2027-WK43</v>
          </cell>
        </row>
        <row r="125">
          <cell r="D125" t="str">
            <v>2027-WK44</v>
          </cell>
        </row>
        <row r="126">
          <cell r="D126" t="str">
            <v>2027-WK45</v>
          </cell>
        </row>
        <row r="127">
          <cell r="D127" t="str">
            <v>2027-WK46</v>
          </cell>
        </row>
        <row r="128">
          <cell r="D128" t="str">
            <v>2027-WK47</v>
          </cell>
        </row>
        <row r="129">
          <cell r="D129" t="str">
            <v>2027-WK48</v>
          </cell>
        </row>
        <row r="130">
          <cell r="D130" t="str">
            <v>2027-WK49</v>
          </cell>
        </row>
        <row r="131">
          <cell r="D131" t="str">
            <v>2027-WK50</v>
          </cell>
        </row>
        <row r="132">
          <cell r="D132" t="str">
            <v>2027-WK51</v>
          </cell>
        </row>
        <row r="133">
          <cell r="D133" t="str">
            <v>2027-WK52</v>
          </cell>
        </row>
        <row r="134">
          <cell r="D134" t="str">
            <v>2028-WK01</v>
          </cell>
        </row>
        <row r="135">
          <cell r="D135" t="str">
            <v>2028-WK02</v>
          </cell>
        </row>
        <row r="136">
          <cell r="D136" t="str">
            <v>2028-WK03</v>
          </cell>
        </row>
        <row r="137">
          <cell r="D137" t="str">
            <v>2028-WK04</v>
          </cell>
        </row>
        <row r="138">
          <cell r="D138" t="str">
            <v>2028-WK05</v>
          </cell>
        </row>
        <row r="139">
          <cell r="D139" t="str">
            <v>2028-WK06</v>
          </cell>
        </row>
        <row r="140">
          <cell r="D140" t="str">
            <v>2028-WK07</v>
          </cell>
        </row>
        <row r="141">
          <cell r="D141" t="str">
            <v>2028-WK08</v>
          </cell>
        </row>
        <row r="142">
          <cell r="D142" t="str">
            <v>2028-WK09</v>
          </cell>
        </row>
        <row r="143">
          <cell r="D143" t="str">
            <v>2028-WK10</v>
          </cell>
        </row>
        <row r="144">
          <cell r="D144" t="str">
            <v>2028-WK11</v>
          </cell>
        </row>
        <row r="145">
          <cell r="D145" t="str">
            <v>2028-WK12</v>
          </cell>
        </row>
        <row r="146">
          <cell r="D146" t="str">
            <v>2028-WK13</v>
          </cell>
        </row>
        <row r="147">
          <cell r="D147" t="str">
            <v>2028-WK14</v>
          </cell>
        </row>
        <row r="148">
          <cell r="D148" t="str">
            <v>2028-WK15</v>
          </cell>
        </row>
        <row r="149">
          <cell r="D149" t="str">
            <v>2028-WK16</v>
          </cell>
        </row>
        <row r="150">
          <cell r="D150" t="str">
            <v>2028-WK17</v>
          </cell>
        </row>
        <row r="151">
          <cell r="D151" t="str">
            <v>2028-WK18</v>
          </cell>
        </row>
        <row r="152">
          <cell r="D152" t="str">
            <v>2028-WK19</v>
          </cell>
        </row>
        <row r="153">
          <cell r="D153" t="str">
            <v>2028-WK20</v>
          </cell>
        </row>
        <row r="154">
          <cell r="D154" t="str">
            <v>2028-WK21</v>
          </cell>
        </row>
        <row r="155">
          <cell r="D155" t="str">
            <v>2028-WK22</v>
          </cell>
        </row>
        <row r="156">
          <cell r="D156" t="str">
            <v>2028-WK23</v>
          </cell>
        </row>
        <row r="157">
          <cell r="D157" t="str">
            <v>2028-WK24</v>
          </cell>
        </row>
        <row r="158">
          <cell r="D158" t="str">
            <v>2028-WK25</v>
          </cell>
        </row>
        <row r="159">
          <cell r="D159" t="str">
            <v>2028-WK26</v>
          </cell>
        </row>
        <row r="160">
          <cell r="D160" t="str">
            <v>2028-WK27</v>
          </cell>
        </row>
        <row r="161">
          <cell r="D161" t="str">
            <v>2028-WK28</v>
          </cell>
        </row>
        <row r="162">
          <cell r="D162" t="str">
            <v>2028-WK29</v>
          </cell>
        </row>
        <row r="163">
          <cell r="D163" t="str">
            <v>2028-WK30</v>
          </cell>
        </row>
        <row r="164">
          <cell r="D164" t="str">
            <v>2028-WK31</v>
          </cell>
        </row>
        <row r="165">
          <cell r="D165" t="str">
            <v>2028-WK32</v>
          </cell>
        </row>
        <row r="166">
          <cell r="D166" t="str">
            <v>2028-WK33</v>
          </cell>
        </row>
        <row r="167">
          <cell r="D167" t="str">
            <v>2028-WK34</v>
          </cell>
        </row>
        <row r="168">
          <cell r="D168" t="str">
            <v>2028-WK35</v>
          </cell>
        </row>
        <row r="169">
          <cell r="D169" t="str">
            <v>2028-WK36</v>
          </cell>
        </row>
        <row r="170">
          <cell r="D170" t="str">
            <v>2028-WK37</v>
          </cell>
        </row>
        <row r="171">
          <cell r="D171" t="str">
            <v>2028-WK38</v>
          </cell>
        </row>
        <row r="172">
          <cell r="D172" t="str">
            <v>2028-WK39</v>
          </cell>
        </row>
        <row r="173">
          <cell r="D173" t="str">
            <v>2028-WK40</v>
          </cell>
        </row>
        <row r="174">
          <cell r="D174" t="str">
            <v>2028-WK41</v>
          </cell>
        </row>
        <row r="175">
          <cell r="D175" t="str">
            <v>2028-WK42</v>
          </cell>
        </row>
        <row r="176">
          <cell r="D176" t="str">
            <v>2028-WK43</v>
          </cell>
        </row>
        <row r="177">
          <cell r="D177" t="str">
            <v>2028-WK44</v>
          </cell>
        </row>
        <row r="178">
          <cell r="D178" t="str">
            <v>2028-WK45</v>
          </cell>
        </row>
        <row r="179">
          <cell r="D179" t="str">
            <v>2028-WK46</v>
          </cell>
        </row>
        <row r="180">
          <cell r="D180" t="str">
            <v>2028-WK47</v>
          </cell>
        </row>
        <row r="181">
          <cell r="D181" t="str">
            <v>2028-WK48</v>
          </cell>
        </row>
        <row r="182">
          <cell r="D182" t="str">
            <v>2028-WK49</v>
          </cell>
        </row>
        <row r="183">
          <cell r="D183" t="str">
            <v>2028-WK50</v>
          </cell>
        </row>
        <row r="184">
          <cell r="D184" t="str">
            <v>2028-WK51</v>
          </cell>
        </row>
        <row r="185">
          <cell r="D185" t="str">
            <v>2028-WK52</v>
          </cell>
        </row>
        <row r="186">
          <cell r="D186" t="str">
            <v>2029-WK01</v>
          </cell>
        </row>
        <row r="187">
          <cell r="D187" t="str">
            <v>2029-WK02</v>
          </cell>
        </row>
        <row r="188">
          <cell r="D188" t="str">
            <v>2029-WK03</v>
          </cell>
        </row>
        <row r="189">
          <cell r="D189" t="str">
            <v>2029-WK04</v>
          </cell>
        </row>
        <row r="190">
          <cell r="D190" t="str">
            <v>2029-WK05</v>
          </cell>
        </row>
        <row r="191">
          <cell r="D191" t="str">
            <v>2029-WK06</v>
          </cell>
        </row>
        <row r="192">
          <cell r="D192" t="str">
            <v>2029-WK07</v>
          </cell>
        </row>
        <row r="193">
          <cell r="D193" t="str">
            <v>2029-WK08</v>
          </cell>
        </row>
        <row r="194">
          <cell r="D194" t="str">
            <v>2029-WK09</v>
          </cell>
        </row>
        <row r="195">
          <cell r="D195" t="str">
            <v>2029-WK10</v>
          </cell>
        </row>
        <row r="196">
          <cell r="D196" t="str">
            <v>2029-WK11</v>
          </cell>
        </row>
        <row r="197">
          <cell r="D197" t="str">
            <v>2029-WK12</v>
          </cell>
        </row>
        <row r="198">
          <cell r="D198" t="str">
            <v>2029-WK13</v>
          </cell>
        </row>
        <row r="199">
          <cell r="D199" t="str">
            <v>2029-WK14</v>
          </cell>
        </row>
        <row r="200">
          <cell r="D200" t="str">
            <v>2029-WK15</v>
          </cell>
        </row>
        <row r="201">
          <cell r="D201" t="str">
            <v>2029-WK16</v>
          </cell>
        </row>
        <row r="202">
          <cell r="D202" t="str">
            <v>2029-WK17</v>
          </cell>
        </row>
        <row r="203">
          <cell r="D203" t="str">
            <v>2029-WK18</v>
          </cell>
        </row>
        <row r="204">
          <cell r="D204" t="str">
            <v>2029-WK19</v>
          </cell>
        </row>
        <row r="205">
          <cell r="D205" t="str">
            <v>2029-WK20</v>
          </cell>
        </row>
        <row r="206">
          <cell r="D206" t="str">
            <v>2029-WK21</v>
          </cell>
        </row>
        <row r="207">
          <cell r="D207" t="str">
            <v>2029-WK22</v>
          </cell>
        </row>
        <row r="208">
          <cell r="D208" t="str">
            <v>2029-WK23</v>
          </cell>
        </row>
        <row r="209">
          <cell r="D209" t="str">
            <v>2029-WK24</v>
          </cell>
        </row>
        <row r="210">
          <cell r="D210" t="str">
            <v>2029-WK25</v>
          </cell>
        </row>
        <row r="211">
          <cell r="D211" t="str">
            <v>2029-WK26</v>
          </cell>
        </row>
        <row r="212">
          <cell r="D212" t="str">
            <v>2029-WK27</v>
          </cell>
        </row>
        <row r="213">
          <cell r="D213" t="str">
            <v>2029-WK28</v>
          </cell>
        </row>
        <row r="214">
          <cell r="D214" t="str">
            <v>2029-WK29</v>
          </cell>
        </row>
        <row r="215">
          <cell r="D215" t="str">
            <v>2029-WK30</v>
          </cell>
        </row>
        <row r="216">
          <cell r="D216" t="str">
            <v>2029-WK31</v>
          </cell>
        </row>
        <row r="217">
          <cell r="D217" t="str">
            <v>2029-WK32</v>
          </cell>
        </row>
        <row r="218">
          <cell r="D218" t="str">
            <v>2029-WK33</v>
          </cell>
        </row>
        <row r="219">
          <cell r="D219" t="str">
            <v>2029-WK34</v>
          </cell>
        </row>
        <row r="220">
          <cell r="D220" t="str">
            <v>2029-WK35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/>
  </sheetViews>
  <sheetFormatPr defaultRowHeight="15" x14ac:dyDescent="0.25"/>
  <cols>
    <col min="1" max="1" width="16.28515625" customWidth="1"/>
    <col min="2" max="2" width="20" customWidth="1"/>
    <col min="3" max="3" width="22.7109375" customWidth="1"/>
    <col min="4" max="4" width="23.7109375" customWidth="1"/>
    <col min="5" max="5" width="27.28515625" customWidth="1"/>
    <col min="6" max="6" width="26.42578125" customWidth="1"/>
    <col min="7" max="7" width="1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46023</v>
      </c>
      <c r="F2">
        <v>43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s="2">
        <v>46006</v>
      </c>
      <c r="F3">
        <v>60</v>
      </c>
      <c r="G3" t="s">
        <v>10</v>
      </c>
    </row>
    <row r="4" spans="1:7" x14ac:dyDescent="0.25">
      <c r="A4" t="s">
        <v>14</v>
      </c>
      <c r="B4" t="s">
        <v>15</v>
      </c>
      <c r="C4" t="s">
        <v>16</v>
      </c>
      <c r="D4" s="2">
        <v>46007</v>
      </c>
      <c r="F4">
        <v>59</v>
      </c>
      <c r="G4" t="s">
        <v>10</v>
      </c>
    </row>
    <row r="5" spans="1:7" x14ac:dyDescent="0.25">
      <c r="A5" t="s">
        <v>17</v>
      </c>
      <c r="B5" t="s">
        <v>18</v>
      </c>
      <c r="C5" t="s">
        <v>19</v>
      </c>
      <c r="D5" s="2">
        <v>46008</v>
      </c>
      <c r="F5">
        <v>58</v>
      </c>
      <c r="G5" t="s">
        <v>10</v>
      </c>
    </row>
    <row r="6" spans="1:7" x14ac:dyDescent="0.25">
      <c r="A6" t="s">
        <v>20</v>
      </c>
      <c r="B6" t="s">
        <v>21</v>
      </c>
      <c r="C6" t="s">
        <v>13</v>
      </c>
      <c r="D6" s="2">
        <v>45638</v>
      </c>
      <c r="F6">
        <v>428</v>
      </c>
      <c r="G6" t="s">
        <v>10</v>
      </c>
    </row>
    <row r="7" spans="1:7" x14ac:dyDescent="0.25">
      <c r="A7" t="s">
        <v>22</v>
      </c>
      <c r="B7" t="s">
        <v>23</v>
      </c>
      <c r="C7" t="s">
        <v>13</v>
      </c>
      <c r="D7" s="2">
        <v>46061</v>
      </c>
      <c r="F7">
        <v>5</v>
      </c>
      <c r="G7" t="s">
        <v>10</v>
      </c>
    </row>
    <row r="8" spans="1:7" x14ac:dyDescent="0.25">
      <c r="A8" t="s">
        <v>24</v>
      </c>
      <c r="B8" t="s">
        <v>25</v>
      </c>
      <c r="C8" t="s">
        <v>9</v>
      </c>
      <c r="D8" s="2">
        <v>45908</v>
      </c>
      <c r="F8">
        <v>158</v>
      </c>
      <c r="G8" t="s">
        <v>10</v>
      </c>
    </row>
    <row r="9" spans="1:7" x14ac:dyDescent="0.25">
      <c r="A9" t="s">
        <v>26</v>
      </c>
      <c r="B9" t="s">
        <v>27</v>
      </c>
      <c r="C9" t="s">
        <v>9</v>
      </c>
      <c r="D9" s="2">
        <v>45909</v>
      </c>
      <c r="F9">
        <v>157</v>
      </c>
      <c r="G9" t="s">
        <v>10</v>
      </c>
    </row>
    <row r="10" spans="1:7" x14ac:dyDescent="0.25">
      <c r="A10" t="s">
        <v>28</v>
      </c>
      <c r="B10" t="s">
        <v>29</v>
      </c>
      <c r="C10" t="s">
        <v>30</v>
      </c>
      <c r="D10" s="2">
        <v>45910</v>
      </c>
      <c r="F10">
        <v>156</v>
      </c>
      <c r="G10" t="s">
        <v>10</v>
      </c>
    </row>
    <row r="11" spans="1:7" x14ac:dyDescent="0.25">
      <c r="A11" t="s">
        <v>31</v>
      </c>
      <c r="B11" t="s">
        <v>32</v>
      </c>
      <c r="C11" t="s">
        <v>30</v>
      </c>
      <c r="D11" s="2">
        <v>45911</v>
      </c>
      <c r="F11">
        <v>155</v>
      </c>
      <c r="G11" t="s">
        <v>10</v>
      </c>
    </row>
    <row r="12" spans="1:7" x14ac:dyDescent="0.25">
      <c r="A12" t="s">
        <v>33</v>
      </c>
      <c r="B12" t="s">
        <v>34</v>
      </c>
      <c r="C12" t="s">
        <v>16</v>
      </c>
      <c r="D12" s="2">
        <v>45912</v>
      </c>
      <c r="F12">
        <v>154</v>
      </c>
      <c r="G12" t="s">
        <v>10</v>
      </c>
    </row>
    <row r="13" spans="1:7" x14ac:dyDescent="0.25">
      <c r="A13" t="s">
        <v>35</v>
      </c>
      <c r="B13" t="s">
        <v>36</v>
      </c>
      <c r="C13" t="s">
        <v>13</v>
      </c>
      <c r="D13" s="2">
        <v>45913</v>
      </c>
      <c r="F13">
        <v>153</v>
      </c>
      <c r="G13" t="s">
        <v>10</v>
      </c>
    </row>
    <row r="14" spans="1:7" x14ac:dyDescent="0.25">
      <c r="A14" t="s">
        <v>37</v>
      </c>
      <c r="B14" t="s">
        <v>38</v>
      </c>
      <c r="C14" t="s">
        <v>39</v>
      </c>
      <c r="D14" s="2">
        <v>45914</v>
      </c>
      <c r="F14">
        <v>152</v>
      </c>
      <c r="G14" t="s">
        <v>10</v>
      </c>
    </row>
    <row r="15" spans="1:7" x14ac:dyDescent="0.25">
      <c r="A15" t="s">
        <v>40</v>
      </c>
      <c r="B15" t="s">
        <v>23</v>
      </c>
      <c r="C15" t="s">
        <v>9</v>
      </c>
      <c r="D15" s="2">
        <v>45954</v>
      </c>
      <c r="E15">
        <v>45974</v>
      </c>
      <c r="F15">
        <v>20</v>
      </c>
      <c r="G15" t="s">
        <v>41</v>
      </c>
    </row>
    <row r="16" spans="1:7" x14ac:dyDescent="0.25">
      <c r="A16" t="s">
        <v>42</v>
      </c>
      <c r="B16" t="s">
        <v>23</v>
      </c>
      <c r="C16" t="s">
        <v>43</v>
      </c>
      <c r="D16" s="2">
        <v>45975</v>
      </c>
      <c r="E16">
        <v>45996</v>
      </c>
      <c r="F16">
        <v>21</v>
      </c>
      <c r="G16" t="s">
        <v>41</v>
      </c>
    </row>
    <row r="17" spans="1:7" x14ac:dyDescent="0.25">
      <c r="A17" t="s">
        <v>44</v>
      </c>
      <c r="B17" t="s">
        <v>23</v>
      </c>
      <c r="C17" t="s">
        <v>13</v>
      </c>
      <c r="D17" s="2">
        <v>45997</v>
      </c>
      <c r="E17">
        <v>46020</v>
      </c>
      <c r="F17">
        <v>23</v>
      </c>
      <c r="G17" t="s">
        <v>41</v>
      </c>
    </row>
    <row r="18" spans="1:7" x14ac:dyDescent="0.25">
      <c r="A18" t="s">
        <v>45</v>
      </c>
      <c r="B18" t="s">
        <v>23</v>
      </c>
      <c r="C18" t="s">
        <v>46</v>
      </c>
      <c r="D18" s="2">
        <v>46021</v>
      </c>
      <c r="E18">
        <v>46060</v>
      </c>
      <c r="F18">
        <v>39</v>
      </c>
      <c r="G18" t="s">
        <v>41</v>
      </c>
    </row>
    <row r="19" spans="1:7" x14ac:dyDescent="0.25">
      <c r="A19" t="s">
        <v>47</v>
      </c>
      <c r="B19" t="s">
        <v>25</v>
      </c>
      <c r="C19" t="s">
        <v>16</v>
      </c>
      <c r="D19" s="2">
        <v>45721</v>
      </c>
      <c r="E19">
        <v>45897</v>
      </c>
      <c r="F19">
        <v>176</v>
      </c>
      <c r="G19" t="s">
        <v>41</v>
      </c>
    </row>
    <row r="20" spans="1:7" x14ac:dyDescent="0.25">
      <c r="A20" t="s">
        <v>48</v>
      </c>
      <c r="B20" t="s">
        <v>25</v>
      </c>
      <c r="C20" t="s">
        <v>49</v>
      </c>
      <c r="D20" s="2">
        <v>45899</v>
      </c>
      <c r="E20">
        <v>45907</v>
      </c>
      <c r="F20">
        <v>8</v>
      </c>
      <c r="G20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D15" sqref="D15"/>
    </sheetView>
  </sheetViews>
  <sheetFormatPr defaultRowHeight="15" x14ac:dyDescent="0.25"/>
  <cols>
    <col min="1" max="1" width="24.28515625" customWidth="1"/>
    <col min="2" max="2" width="28" customWidth="1"/>
  </cols>
  <sheetData>
    <row r="1" spans="1:2" x14ac:dyDescent="0.25">
      <c r="A1" s="1" t="s">
        <v>50</v>
      </c>
      <c r="B1" t="s">
        <v>88</v>
      </c>
    </row>
    <row r="2" spans="1:2" x14ac:dyDescent="0.25">
      <c r="A2" t="s">
        <v>9</v>
      </c>
      <c r="B2" t="s">
        <v>307</v>
      </c>
    </row>
    <row r="3" spans="1:2" x14ac:dyDescent="0.25">
      <c r="A3" t="s">
        <v>13</v>
      </c>
      <c r="B3" t="s">
        <v>307</v>
      </c>
    </row>
    <row r="4" spans="1:2" x14ac:dyDescent="0.25">
      <c r="A4" t="s">
        <v>19</v>
      </c>
      <c r="B4" t="s">
        <v>307</v>
      </c>
    </row>
    <row r="5" spans="1:2" x14ac:dyDescent="0.25">
      <c r="A5" t="s">
        <v>46</v>
      </c>
      <c r="B5" t="s">
        <v>307</v>
      </c>
    </row>
    <row r="6" spans="1:2" x14ac:dyDescent="0.25">
      <c r="A6" t="s">
        <v>51</v>
      </c>
      <c r="B6" t="s">
        <v>307</v>
      </c>
    </row>
    <row r="7" spans="1:2" x14ac:dyDescent="0.25">
      <c r="A7" t="s">
        <v>52</v>
      </c>
      <c r="B7" t="s">
        <v>307</v>
      </c>
    </row>
    <row r="8" spans="1:2" x14ac:dyDescent="0.25">
      <c r="A8" t="s">
        <v>53</v>
      </c>
      <c r="B8" t="s">
        <v>307</v>
      </c>
    </row>
    <row r="9" spans="1:2" x14ac:dyDescent="0.25">
      <c r="A9" t="s">
        <v>54</v>
      </c>
      <c r="B9" t="s">
        <v>307</v>
      </c>
    </row>
    <row r="10" spans="1:2" x14ac:dyDescent="0.25">
      <c r="A10" t="s">
        <v>43</v>
      </c>
      <c r="B10" t="s">
        <v>307</v>
      </c>
    </row>
    <row r="11" spans="1:2" x14ac:dyDescent="0.25">
      <c r="A11" t="s">
        <v>55</v>
      </c>
      <c r="B11" t="s">
        <v>307</v>
      </c>
    </row>
    <row r="12" spans="1:2" x14ac:dyDescent="0.25">
      <c r="A12" t="s">
        <v>56</v>
      </c>
      <c r="B12" t="s">
        <v>307</v>
      </c>
    </row>
    <row r="13" spans="1:2" x14ac:dyDescent="0.25">
      <c r="A13" t="s">
        <v>16</v>
      </c>
      <c r="B13" t="s">
        <v>307</v>
      </c>
    </row>
    <row r="14" spans="1:2" x14ac:dyDescent="0.25">
      <c r="A14" t="s">
        <v>30</v>
      </c>
      <c r="B14" t="s">
        <v>307</v>
      </c>
    </row>
    <row r="15" spans="1:2" x14ac:dyDescent="0.25">
      <c r="A15" t="s">
        <v>57</v>
      </c>
      <c r="B15" t="s">
        <v>307</v>
      </c>
    </row>
    <row r="16" spans="1:2" x14ac:dyDescent="0.25">
      <c r="A16" t="s">
        <v>39</v>
      </c>
      <c r="B16" t="s">
        <v>307</v>
      </c>
    </row>
    <row r="17" spans="1:2" x14ac:dyDescent="0.25">
      <c r="A17" t="s">
        <v>49</v>
      </c>
      <c r="B17" t="s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cols>
    <col min="1" max="1" width="12.28515625" customWidth="1"/>
    <col min="2" max="2" width="19.28515625" customWidth="1"/>
    <col min="3" max="3" width="33.28515625" customWidth="1"/>
  </cols>
  <sheetData>
    <row r="1" spans="1:3" x14ac:dyDescent="0.25">
      <c r="A1" s="1" t="s">
        <v>0</v>
      </c>
      <c r="B1" s="1" t="s">
        <v>1</v>
      </c>
      <c r="C1" s="1" t="s">
        <v>58</v>
      </c>
    </row>
    <row r="2" spans="1:3" x14ac:dyDescent="0.25">
      <c r="A2" t="s">
        <v>59</v>
      </c>
      <c r="B2" t="s">
        <v>8</v>
      </c>
      <c r="C2" t="s">
        <v>60</v>
      </c>
    </row>
    <row r="3" spans="1:3" x14ac:dyDescent="0.25">
      <c r="A3" t="s">
        <v>61</v>
      </c>
      <c r="B3" t="s">
        <v>12</v>
      </c>
      <c r="C3" t="s">
        <v>62</v>
      </c>
    </row>
    <row r="4" spans="1:3" x14ac:dyDescent="0.25">
      <c r="A4" t="s">
        <v>63</v>
      </c>
      <c r="B4" t="s">
        <v>15</v>
      </c>
      <c r="C4" t="s">
        <v>64</v>
      </c>
    </row>
    <row r="5" spans="1:3" x14ac:dyDescent="0.25">
      <c r="A5" t="s">
        <v>65</v>
      </c>
      <c r="B5" t="s">
        <v>18</v>
      </c>
      <c r="C5" t="s">
        <v>66</v>
      </c>
    </row>
    <row r="6" spans="1:3" x14ac:dyDescent="0.25">
      <c r="A6" t="s">
        <v>67</v>
      </c>
      <c r="B6" t="s">
        <v>21</v>
      </c>
      <c r="C6" t="s">
        <v>68</v>
      </c>
    </row>
    <row r="7" spans="1:3" x14ac:dyDescent="0.25">
      <c r="A7" t="s">
        <v>69</v>
      </c>
      <c r="B7" t="s">
        <v>23</v>
      </c>
      <c r="C7" t="s">
        <v>70</v>
      </c>
    </row>
    <row r="8" spans="1:3" x14ac:dyDescent="0.25">
      <c r="A8" t="s">
        <v>71</v>
      </c>
      <c r="B8" t="s">
        <v>25</v>
      </c>
      <c r="C8" t="s">
        <v>72</v>
      </c>
    </row>
    <row r="9" spans="1:3" x14ac:dyDescent="0.25">
      <c r="A9" t="s">
        <v>73</v>
      </c>
      <c r="B9" t="s">
        <v>27</v>
      </c>
      <c r="C9" t="s">
        <v>74</v>
      </c>
    </row>
    <row r="10" spans="1:3" x14ac:dyDescent="0.25">
      <c r="A10" t="s">
        <v>75</v>
      </c>
      <c r="B10" t="s">
        <v>29</v>
      </c>
      <c r="C10" t="s">
        <v>76</v>
      </c>
    </row>
    <row r="11" spans="1:3" x14ac:dyDescent="0.25">
      <c r="A11" t="s">
        <v>77</v>
      </c>
      <c r="B11" t="s">
        <v>32</v>
      </c>
      <c r="C11" t="s">
        <v>78</v>
      </c>
    </row>
    <row r="12" spans="1:3" x14ac:dyDescent="0.25">
      <c r="A12" t="s">
        <v>79</v>
      </c>
      <c r="B12" t="s">
        <v>34</v>
      </c>
      <c r="C12" t="s">
        <v>80</v>
      </c>
    </row>
    <row r="13" spans="1:3" x14ac:dyDescent="0.25">
      <c r="A13" t="s">
        <v>81</v>
      </c>
      <c r="B13" t="s">
        <v>36</v>
      </c>
      <c r="C13" t="s">
        <v>82</v>
      </c>
    </row>
    <row r="14" spans="1:3" x14ac:dyDescent="0.25">
      <c r="A14" t="s">
        <v>83</v>
      </c>
      <c r="B14" t="s">
        <v>38</v>
      </c>
      <c r="C14" t="s">
        <v>84</v>
      </c>
    </row>
    <row r="15" spans="1:3" x14ac:dyDescent="0.25">
      <c r="A15" t="s">
        <v>85</v>
      </c>
      <c r="B15" t="s">
        <v>86</v>
      </c>
      <c r="C15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F459-9DC6-449A-8F2B-03B8DD94FE9C}">
  <dimension ref="A1:F55"/>
  <sheetViews>
    <sheetView topLeftCell="A45" workbookViewId="0">
      <selection activeCell="H6" sqref="H6"/>
    </sheetView>
  </sheetViews>
  <sheetFormatPr defaultRowHeight="15" x14ac:dyDescent="0.25"/>
  <cols>
    <col min="2" max="2" width="63.5703125" customWidth="1"/>
    <col min="3" max="3" width="31.140625" customWidth="1"/>
    <col min="4" max="4" width="25.42578125" customWidth="1"/>
    <col min="5" max="5" width="30.7109375" customWidth="1"/>
    <col min="6" max="6" width="20.28515625" customWidth="1"/>
  </cols>
  <sheetData>
    <row r="1" spans="1:6" x14ac:dyDescent="0.25">
      <c r="A1" s="20" t="s">
        <v>243</v>
      </c>
      <c r="B1" s="20"/>
      <c r="C1" s="20"/>
      <c r="D1" s="20"/>
      <c r="E1" s="20"/>
    </row>
    <row r="2" spans="1:6" ht="15.75" x14ac:dyDescent="0.25">
      <c r="A2" s="9" t="s">
        <v>244</v>
      </c>
      <c r="B2" s="9" t="s">
        <v>245</v>
      </c>
      <c r="C2" s="9" t="s">
        <v>246</v>
      </c>
      <c r="D2" s="9" t="s">
        <v>247</v>
      </c>
      <c r="E2" s="9" t="s">
        <v>50</v>
      </c>
      <c r="F2" s="10" t="s">
        <v>248</v>
      </c>
    </row>
    <row r="3" spans="1:6" ht="15.75" x14ac:dyDescent="0.25">
      <c r="A3" s="11">
        <v>1</v>
      </c>
      <c r="B3" s="12" t="s">
        <v>249</v>
      </c>
      <c r="C3" s="11" t="s">
        <v>250</v>
      </c>
      <c r="D3" s="11">
        <v>4</v>
      </c>
      <c r="E3" s="13" t="s">
        <v>251</v>
      </c>
    </row>
    <row r="4" spans="1:6" ht="15.75" x14ac:dyDescent="0.25">
      <c r="A4" s="11">
        <v>2</v>
      </c>
      <c r="B4" s="12" t="s">
        <v>252</v>
      </c>
      <c r="C4" s="11" t="s">
        <v>250</v>
      </c>
      <c r="D4" s="11">
        <v>1</v>
      </c>
      <c r="E4" s="13" t="s">
        <v>251</v>
      </c>
    </row>
    <row r="5" spans="1:6" ht="15.75" x14ac:dyDescent="0.25">
      <c r="A5" s="11">
        <v>3</v>
      </c>
      <c r="B5" s="12" t="s">
        <v>253</v>
      </c>
      <c r="C5" s="11" t="s">
        <v>254</v>
      </c>
      <c r="D5" s="11">
        <v>1</v>
      </c>
      <c r="E5" s="13" t="s">
        <v>251</v>
      </c>
    </row>
    <row r="6" spans="1:6" ht="15.75" x14ac:dyDescent="0.25">
      <c r="A6" s="11">
        <v>4</v>
      </c>
      <c r="B6" s="12" t="s">
        <v>255</v>
      </c>
      <c r="C6" s="11" t="s">
        <v>250</v>
      </c>
      <c r="D6" s="11">
        <v>1</v>
      </c>
      <c r="E6" s="13" t="s">
        <v>251</v>
      </c>
    </row>
    <row r="7" spans="1:6" ht="15.75" x14ac:dyDescent="0.25">
      <c r="A7" s="11">
        <v>5</v>
      </c>
      <c r="B7" s="12" t="s">
        <v>256</v>
      </c>
      <c r="C7" s="11" t="s">
        <v>250</v>
      </c>
      <c r="D7" s="11">
        <v>1</v>
      </c>
      <c r="E7" s="13" t="s">
        <v>251</v>
      </c>
    </row>
    <row r="8" spans="1:6" ht="15.75" x14ac:dyDescent="0.25">
      <c r="A8" s="11">
        <v>6</v>
      </c>
      <c r="B8" s="12" t="s">
        <v>257</v>
      </c>
      <c r="C8" s="11" t="s">
        <v>250</v>
      </c>
      <c r="D8" s="11">
        <v>1</v>
      </c>
      <c r="E8" s="13" t="s">
        <v>258</v>
      </c>
    </row>
    <row r="9" spans="1:6" ht="15.75" x14ac:dyDescent="0.25">
      <c r="A9" s="11">
        <v>7</v>
      </c>
      <c r="B9" s="12" t="s">
        <v>259</v>
      </c>
      <c r="C9" s="11" t="s">
        <v>250</v>
      </c>
      <c r="D9" s="11">
        <v>2</v>
      </c>
      <c r="E9" s="13" t="s">
        <v>251</v>
      </c>
    </row>
    <row r="10" spans="1:6" ht="15.75" x14ac:dyDescent="0.25">
      <c r="A10" s="11">
        <v>8</v>
      </c>
      <c r="B10" s="12" t="s">
        <v>260</v>
      </c>
      <c r="C10" s="11" t="s">
        <v>261</v>
      </c>
      <c r="D10" s="11">
        <v>3</v>
      </c>
      <c r="E10" s="13" t="s">
        <v>251</v>
      </c>
    </row>
    <row r="11" spans="1:6" ht="15.75" x14ac:dyDescent="0.25">
      <c r="A11" s="11">
        <v>9</v>
      </c>
      <c r="B11" s="12" t="s">
        <v>262</v>
      </c>
      <c r="C11" s="11" t="s">
        <v>250</v>
      </c>
      <c r="D11" s="11">
        <v>1</v>
      </c>
      <c r="E11" s="13" t="s">
        <v>251</v>
      </c>
    </row>
    <row r="12" spans="1:6" ht="15.75" x14ac:dyDescent="0.25">
      <c r="A12" s="11">
        <v>10</v>
      </c>
      <c r="B12" s="12" t="s">
        <v>263</v>
      </c>
      <c r="C12" s="11" t="s">
        <v>250</v>
      </c>
      <c r="D12" s="11">
        <v>2</v>
      </c>
      <c r="E12" s="13" t="s">
        <v>251</v>
      </c>
    </row>
    <row r="13" spans="1:6" ht="15.75" x14ac:dyDescent="0.25">
      <c r="A13" s="11">
        <v>11</v>
      </c>
      <c r="B13" s="12" t="s">
        <v>264</v>
      </c>
      <c r="C13" s="11" t="s">
        <v>250</v>
      </c>
      <c r="D13" s="11">
        <v>1</v>
      </c>
      <c r="E13" s="13" t="s">
        <v>251</v>
      </c>
    </row>
    <row r="14" spans="1:6" ht="15.75" x14ac:dyDescent="0.25">
      <c r="A14" s="11">
        <v>12</v>
      </c>
      <c r="B14" s="12" t="s">
        <v>265</v>
      </c>
      <c r="C14" s="11" t="s">
        <v>250</v>
      </c>
      <c r="D14" s="11">
        <v>1</v>
      </c>
      <c r="E14" s="13" t="s">
        <v>251</v>
      </c>
    </row>
    <row r="15" spans="1:6" ht="15.75" x14ac:dyDescent="0.25">
      <c r="A15" s="11">
        <v>13</v>
      </c>
      <c r="B15" s="12" t="s">
        <v>266</v>
      </c>
      <c r="C15" s="11" t="s">
        <v>250</v>
      </c>
      <c r="D15" s="11">
        <v>2</v>
      </c>
      <c r="E15" s="13" t="s">
        <v>258</v>
      </c>
    </row>
    <row r="16" spans="1:6" ht="15.75" x14ac:dyDescent="0.25">
      <c r="A16" s="11">
        <v>14</v>
      </c>
      <c r="B16" s="12" t="s">
        <v>267</v>
      </c>
      <c r="C16" s="11" t="s">
        <v>250</v>
      </c>
      <c r="D16" s="11">
        <v>2</v>
      </c>
      <c r="E16" s="13" t="s">
        <v>251</v>
      </c>
    </row>
    <row r="17" spans="1:5" ht="15.75" x14ac:dyDescent="0.25">
      <c r="A17" s="11">
        <v>15</v>
      </c>
      <c r="B17" s="12" t="s">
        <v>268</v>
      </c>
      <c r="C17" s="11" t="s">
        <v>250</v>
      </c>
      <c r="D17" s="11">
        <v>1</v>
      </c>
      <c r="E17" s="13" t="s">
        <v>251</v>
      </c>
    </row>
    <row r="18" spans="1:5" ht="15.75" x14ac:dyDescent="0.25">
      <c r="A18" s="11">
        <v>16</v>
      </c>
      <c r="B18" s="12" t="s">
        <v>269</v>
      </c>
      <c r="C18" s="11" t="s">
        <v>250</v>
      </c>
      <c r="D18" s="11">
        <v>1</v>
      </c>
      <c r="E18" s="13" t="s">
        <v>251</v>
      </c>
    </row>
    <row r="19" spans="1:5" ht="15.75" x14ac:dyDescent="0.25">
      <c r="A19" s="11">
        <v>17</v>
      </c>
      <c r="B19" s="12" t="s">
        <v>270</v>
      </c>
      <c r="C19" s="11" t="s">
        <v>250</v>
      </c>
      <c r="D19" s="11">
        <v>1</v>
      </c>
      <c r="E19" s="13" t="s">
        <v>251</v>
      </c>
    </row>
    <row r="20" spans="1:5" ht="15.75" x14ac:dyDescent="0.25">
      <c r="A20" s="11">
        <v>18</v>
      </c>
      <c r="B20" s="12" t="s">
        <v>271</v>
      </c>
      <c r="C20" s="11" t="s">
        <v>250</v>
      </c>
      <c r="D20" s="11">
        <v>1</v>
      </c>
      <c r="E20" s="13" t="s">
        <v>251</v>
      </c>
    </row>
    <row r="21" spans="1:5" ht="15.75" x14ac:dyDescent="0.25">
      <c r="A21" s="11">
        <v>19</v>
      </c>
      <c r="B21" s="12" t="s">
        <v>272</v>
      </c>
      <c r="C21" s="11"/>
      <c r="D21" s="11"/>
      <c r="E21" s="13"/>
    </row>
    <row r="22" spans="1:5" ht="15.75" x14ac:dyDescent="0.25">
      <c r="A22" s="11"/>
      <c r="B22" s="14" t="s">
        <v>273</v>
      </c>
      <c r="C22" s="11" t="s">
        <v>250</v>
      </c>
      <c r="D22" s="11">
        <v>1</v>
      </c>
      <c r="E22" s="13" t="s">
        <v>251</v>
      </c>
    </row>
    <row r="23" spans="1:5" ht="15.75" x14ac:dyDescent="0.25">
      <c r="A23" s="11"/>
      <c r="B23" s="14" t="s">
        <v>274</v>
      </c>
      <c r="C23" s="11" t="s">
        <v>250</v>
      </c>
      <c r="D23" s="11">
        <v>1</v>
      </c>
      <c r="E23" s="13" t="s">
        <v>251</v>
      </c>
    </row>
    <row r="24" spans="1:5" ht="15.75" x14ac:dyDescent="0.25">
      <c r="A24" s="11"/>
      <c r="B24" s="14" t="s">
        <v>275</v>
      </c>
      <c r="C24" s="11" t="s">
        <v>250</v>
      </c>
      <c r="D24" s="11">
        <v>1</v>
      </c>
      <c r="E24" s="13" t="s">
        <v>258</v>
      </c>
    </row>
    <row r="25" spans="1:5" ht="15.75" x14ac:dyDescent="0.25">
      <c r="A25" s="11"/>
      <c r="B25" s="14" t="s">
        <v>276</v>
      </c>
      <c r="C25" s="11" t="s">
        <v>250</v>
      </c>
      <c r="D25" s="11"/>
      <c r="E25" s="13" t="s">
        <v>258</v>
      </c>
    </row>
    <row r="26" spans="1:5" ht="15.75" x14ac:dyDescent="0.25">
      <c r="A26" s="11">
        <v>20</v>
      </c>
      <c r="B26" s="12" t="s">
        <v>277</v>
      </c>
      <c r="C26" s="11"/>
      <c r="D26" s="11"/>
      <c r="E26" s="13"/>
    </row>
    <row r="27" spans="1:5" ht="15.75" x14ac:dyDescent="0.25">
      <c r="A27" s="11"/>
      <c r="B27" s="14" t="s">
        <v>278</v>
      </c>
      <c r="C27" s="11" t="s">
        <v>250</v>
      </c>
      <c r="D27" s="11">
        <v>4</v>
      </c>
      <c r="E27" s="13" t="s">
        <v>251</v>
      </c>
    </row>
    <row r="28" spans="1:5" ht="15.75" x14ac:dyDescent="0.25">
      <c r="A28" s="11"/>
      <c r="B28" s="14" t="s">
        <v>279</v>
      </c>
      <c r="C28" s="11" t="s">
        <v>250</v>
      </c>
      <c r="D28" s="11">
        <v>1</v>
      </c>
      <c r="E28" s="13" t="s">
        <v>251</v>
      </c>
    </row>
    <row r="29" spans="1:5" ht="15.75" x14ac:dyDescent="0.25">
      <c r="A29" s="11"/>
      <c r="B29" s="14" t="s">
        <v>280</v>
      </c>
      <c r="C29" s="11" t="s">
        <v>250</v>
      </c>
      <c r="D29" s="11">
        <v>2</v>
      </c>
      <c r="E29" s="13" t="s">
        <v>251</v>
      </c>
    </row>
    <row r="30" spans="1:5" ht="15.75" x14ac:dyDescent="0.25">
      <c r="A30" s="11">
        <v>21</v>
      </c>
      <c r="B30" s="12" t="s">
        <v>281</v>
      </c>
      <c r="C30" s="11" t="s">
        <v>250</v>
      </c>
      <c r="D30" s="11">
        <v>1</v>
      </c>
      <c r="E30" s="13" t="s">
        <v>251</v>
      </c>
    </row>
    <row r="31" spans="1:5" ht="15.75" x14ac:dyDescent="0.25">
      <c r="A31" s="11">
        <v>22</v>
      </c>
      <c r="B31" s="12" t="s">
        <v>282</v>
      </c>
      <c r="C31" s="11" t="s">
        <v>250</v>
      </c>
      <c r="D31" s="11">
        <v>1</v>
      </c>
      <c r="E31" s="13" t="s">
        <v>251</v>
      </c>
    </row>
    <row r="32" spans="1:5" ht="15.75" x14ac:dyDescent="0.25">
      <c r="A32" s="11">
        <v>23</v>
      </c>
      <c r="B32" s="12" t="s">
        <v>283</v>
      </c>
      <c r="C32" s="11" t="s">
        <v>250</v>
      </c>
      <c r="D32" s="11">
        <v>1</v>
      </c>
      <c r="E32" s="13" t="s">
        <v>251</v>
      </c>
    </row>
    <row r="33" spans="1:6" ht="15.75" x14ac:dyDescent="0.25">
      <c r="A33" s="11">
        <v>24</v>
      </c>
      <c r="B33" s="12" t="s">
        <v>284</v>
      </c>
      <c r="C33" s="11"/>
      <c r="D33" s="11"/>
      <c r="E33" s="13"/>
    </row>
    <row r="34" spans="1:6" ht="15.75" x14ac:dyDescent="0.25">
      <c r="A34" s="11"/>
      <c r="B34" s="12" t="s">
        <v>285</v>
      </c>
      <c r="C34" s="11" t="s">
        <v>250</v>
      </c>
      <c r="D34" s="11">
        <v>2</v>
      </c>
      <c r="E34" s="13" t="s">
        <v>251</v>
      </c>
    </row>
    <row r="35" spans="1:6" ht="15.75" x14ac:dyDescent="0.25">
      <c r="A35" s="11"/>
      <c r="B35" s="12" t="s">
        <v>286</v>
      </c>
      <c r="C35" s="11" t="s">
        <v>250</v>
      </c>
      <c r="D35" s="11">
        <v>4</v>
      </c>
      <c r="E35" s="13" t="s">
        <v>251</v>
      </c>
    </row>
    <row r="36" spans="1:6" ht="15.75" x14ac:dyDescent="0.25">
      <c r="A36" s="11"/>
      <c r="B36" s="12" t="s">
        <v>287</v>
      </c>
      <c r="C36" s="11" t="s">
        <v>250</v>
      </c>
      <c r="D36" s="11">
        <v>2</v>
      </c>
      <c r="E36" s="13" t="s">
        <v>251</v>
      </c>
    </row>
    <row r="37" spans="1:6" ht="15.75" x14ac:dyDescent="0.25">
      <c r="A37" s="11"/>
      <c r="B37" s="12" t="s">
        <v>288</v>
      </c>
      <c r="C37" s="11" t="s">
        <v>250</v>
      </c>
      <c r="D37" s="11">
        <v>1</v>
      </c>
      <c r="E37" s="13" t="s">
        <v>251</v>
      </c>
    </row>
    <row r="38" spans="1:6" ht="15.75" x14ac:dyDescent="0.25">
      <c r="A38" s="11"/>
      <c r="B38" s="12" t="s">
        <v>289</v>
      </c>
      <c r="C38" s="11" t="s">
        <v>250</v>
      </c>
      <c r="D38" s="11">
        <v>2</v>
      </c>
      <c r="E38" s="13" t="s">
        <v>251</v>
      </c>
    </row>
    <row r="39" spans="1:6" ht="15.75" x14ac:dyDescent="0.25">
      <c r="A39" s="11">
        <v>25</v>
      </c>
      <c r="B39" s="15" t="s">
        <v>290</v>
      </c>
      <c r="C39" s="11" t="s">
        <v>254</v>
      </c>
      <c r="D39" s="11">
        <v>1</v>
      </c>
      <c r="E39" s="13" t="s">
        <v>251</v>
      </c>
    </row>
    <row r="40" spans="1:6" ht="15.75" x14ac:dyDescent="0.25">
      <c r="A40" s="11">
        <v>26</v>
      </c>
      <c r="B40" s="15" t="s">
        <v>291</v>
      </c>
      <c r="C40" s="11" t="s">
        <v>254</v>
      </c>
      <c r="D40" s="11">
        <v>2</v>
      </c>
      <c r="E40" s="13" t="s">
        <v>251</v>
      </c>
    </row>
    <row r="41" spans="1:6" ht="15.75" x14ac:dyDescent="0.25">
      <c r="A41" s="11">
        <v>27</v>
      </c>
      <c r="B41" s="15" t="s">
        <v>292</v>
      </c>
      <c r="C41" s="11" t="s">
        <v>250</v>
      </c>
      <c r="D41" s="11">
        <v>1</v>
      </c>
      <c r="E41" s="13" t="s">
        <v>251</v>
      </c>
    </row>
    <row r="42" spans="1:6" ht="173.25" x14ac:dyDescent="0.25">
      <c r="A42" s="16">
        <v>28</v>
      </c>
      <c r="B42" s="17" t="s">
        <v>293</v>
      </c>
      <c r="C42" s="16" t="s">
        <v>250</v>
      </c>
      <c r="D42" s="16">
        <v>1</v>
      </c>
      <c r="E42" s="18" t="s">
        <v>251</v>
      </c>
      <c r="F42" s="19"/>
    </row>
    <row r="43" spans="1:6" ht="15.75" x14ac:dyDescent="0.25">
      <c r="A43" s="11">
        <v>29</v>
      </c>
      <c r="B43" s="15" t="s">
        <v>294</v>
      </c>
      <c r="C43" s="11" t="s">
        <v>250</v>
      </c>
      <c r="D43" s="11">
        <v>2</v>
      </c>
      <c r="E43" s="13" t="s">
        <v>251</v>
      </c>
    </row>
    <row r="44" spans="1:6" ht="15.75" x14ac:dyDescent="0.25">
      <c r="A44" s="11">
        <v>30</v>
      </c>
      <c r="B44" s="15" t="s">
        <v>295</v>
      </c>
      <c r="C44" s="11" t="s">
        <v>250</v>
      </c>
      <c r="D44" s="11">
        <v>1</v>
      </c>
      <c r="E44" s="13" t="s">
        <v>251</v>
      </c>
    </row>
    <row r="45" spans="1:6" ht="15.75" x14ac:dyDescent="0.25">
      <c r="A45" s="11">
        <v>31</v>
      </c>
      <c r="B45" s="15" t="s">
        <v>296</v>
      </c>
      <c r="C45" s="11" t="s">
        <v>254</v>
      </c>
      <c r="D45" s="11">
        <v>1</v>
      </c>
      <c r="E45" s="13" t="s">
        <v>251</v>
      </c>
    </row>
    <row r="46" spans="1:6" ht="15.75" x14ac:dyDescent="0.25">
      <c r="A46" s="11">
        <v>32</v>
      </c>
      <c r="B46" s="15" t="s">
        <v>297</v>
      </c>
      <c r="C46" s="11" t="s">
        <v>254</v>
      </c>
      <c r="D46" s="11">
        <v>2</v>
      </c>
      <c r="E46" s="13" t="s">
        <v>251</v>
      </c>
    </row>
    <row r="47" spans="1:6" ht="15.75" x14ac:dyDescent="0.25">
      <c r="A47" s="11">
        <v>33</v>
      </c>
      <c r="B47" s="15" t="s">
        <v>298</v>
      </c>
      <c r="C47" s="11" t="s">
        <v>254</v>
      </c>
      <c r="D47" s="11">
        <v>1</v>
      </c>
      <c r="E47" s="13" t="s">
        <v>251</v>
      </c>
    </row>
    <row r="48" spans="1:6" ht="15.75" x14ac:dyDescent="0.25">
      <c r="A48" s="11">
        <v>34</v>
      </c>
      <c r="B48" s="15" t="s">
        <v>299</v>
      </c>
      <c r="C48" s="11" t="s">
        <v>254</v>
      </c>
      <c r="D48" s="11">
        <v>1</v>
      </c>
      <c r="E48" s="13" t="s">
        <v>251</v>
      </c>
    </row>
    <row r="49" spans="1:5" ht="15.75" x14ac:dyDescent="0.25">
      <c r="A49" s="11">
        <v>35</v>
      </c>
      <c r="B49" s="15" t="s">
        <v>300</v>
      </c>
      <c r="C49" s="11" t="s">
        <v>250</v>
      </c>
      <c r="D49" s="11">
        <v>1</v>
      </c>
      <c r="E49" s="13" t="s">
        <v>258</v>
      </c>
    </row>
    <row r="50" spans="1:5" ht="15.75" x14ac:dyDescent="0.25">
      <c r="A50" s="11">
        <v>36</v>
      </c>
      <c r="B50" s="15" t="s">
        <v>301</v>
      </c>
      <c r="C50" s="11" t="s">
        <v>250</v>
      </c>
      <c r="D50" s="11">
        <v>1</v>
      </c>
      <c r="E50" s="13" t="s">
        <v>258</v>
      </c>
    </row>
    <row r="51" spans="1:5" ht="15.75" x14ac:dyDescent="0.25">
      <c r="A51" s="11">
        <v>37</v>
      </c>
      <c r="B51" s="15" t="s">
        <v>302</v>
      </c>
      <c r="C51" s="11" t="s">
        <v>254</v>
      </c>
      <c r="D51" s="11">
        <v>1</v>
      </c>
      <c r="E51" s="13" t="s">
        <v>251</v>
      </c>
    </row>
    <row r="52" spans="1:5" ht="15.75" x14ac:dyDescent="0.25">
      <c r="A52" s="11">
        <v>38</v>
      </c>
      <c r="B52" s="15" t="s">
        <v>303</v>
      </c>
      <c r="C52" s="11" t="s">
        <v>250</v>
      </c>
      <c r="D52" s="11">
        <v>1</v>
      </c>
      <c r="E52" s="13" t="s">
        <v>251</v>
      </c>
    </row>
    <row r="53" spans="1:5" ht="15.75" x14ac:dyDescent="0.25">
      <c r="A53" s="11">
        <v>39</v>
      </c>
      <c r="B53" s="15" t="s">
        <v>304</v>
      </c>
      <c r="C53" s="11" t="s">
        <v>254</v>
      </c>
      <c r="D53" s="11">
        <v>1</v>
      </c>
      <c r="E53" s="13" t="s">
        <v>251</v>
      </c>
    </row>
    <row r="54" spans="1:5" ht="15.75" x14ac:dyDescent="0.25">
      <c r="A54" s="11">
        <v>40</v>
      </c>
      <c r="B54" s="15" t="s">
        <v>305</v>
      </c>
      <c r="C54" s="11" t="s">
        <v>250</v>
      </c>
      <c r="D54" s="11">
        <v>1</v>
      </c>
      <c r="E54" s="13" t="s">
        <v>251</v>
      </c>
    </row>
    <row r="55" spans="1:5" ht="15.75" x14ac:dyDescent="0.25">
      <c r="A55" s="11">
        <v>41</v>
      </c>
      <c r="B55" s="15" t="s">
        <v>306</v>
      </c>
      <c r="C55" s="11" t="s">
        <v>250</v>
      </c>
      <c r="D55" s="11">
        <v>1</v>
      </c>
      <c r="E55" s="13" t="s">
        <v>251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88F9-8BA9-4C94-8114-9DCB2A91B864}">
  <dimension ref="A1:H165"/>
  <sheetViews>
    <sheetView zoomScale="52" workbookViewId="0">
      <selection activeCell="E17" sqref="E17"/>
    </sheetView>
  </sheetViews>
  <sheetFormatPr defaultRowHeight="15" x14ac:dyDescent="0.25"/>
  <cols>
    <col min="1" max="1" width="4.42578125" customWidth="1"/>
    <col min="2" max="2" width="20.28515625" customWidth="1"/>
    <col min="3" max="3" width="29.140625" customWidth="1"/>
    <col min="4" max="4" width="29.7109375" customWidth="1"/>
    <col min="5" max="5" width="30.28515625" customWidth="1"/>
    <col min="6" max="6" width="29.140625" customWidth="1"/>
    <col min="7" max="7" width="28.5703125" customWidth="1"/>
    <col min="8" max="8" width="34.28515625" customWidth="1"/>
  </cols>
  <sheetData>
    <row r="1" spans="1:8" x14ac:dyDescent="0.25">
      <c r="A1" s="3" t="s">
        <v>90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</row>
    <row r="2" spans="1:8" x14ac:dyDescent="0.25">
      <c r="A2" s="4">
        <v>1</v>
      </c>
      <c r="B2" s="4" t="s">
        <v>89</v>
      </c>
      <c r="C2" s="5">
        <v>0.03</v>
      </c>
      <c r="D2" s="6" t="s">
        <v>98</v>
      </c>
      <c r="E2" s="7">
        <v>851</v>
      </c>
      <c r="F2" s="8">
        <v>45855</v>
      </c>
      <c r="G2" s="8">
        <v>46706</v>
      </c>
      <c r="H2" s="6" t="s">
        <v>89</v>
      </c>
    </row>
    <row r="3" spans="1:8" ht="30" x14ac:dyDescent="0.25">
      <c r="A3" s="4">
        <v>2</v>
      </c>
      <c r="B3" s="4" t="s">
        <v>89</v>
      </c>
      <c r="C3" s="5">
        <v>0</v>
      </c>
      <c r="D3" s="6" t="s">
        <v>99</v>
      </c>
      <c r="E3" s="7">
        <v>743</v>
      </c>
      <c r="F3" s="8">
        <v>45855</v>
      </c>
      <c r="G3" s="8">
        <v>46598</v>
      </c>
      <c r="H3" s="6" t="s">
        <v>89</v>
      </c>
    </row>
    <row r="4" spans="1:8" x14ac:dyDescent="0.25">
      <c r="A4" s="4">
        <v>3</v>
      </c>
      <c r="B4" s="4" t="s">
        <v>89</v>
      </c>
      <c r="C4" s="5">
        <v>1</v>
      </c>
      <c r="D4" s="6" t="s">
        <v>100</v>
      </c>
      <c r="E4" s="7">
        <v>0</v>
      </c>
      <c r="F4" s="8">
        <v>45855</v>
      </c>
      <c r="G4" s="8">
        <v>45855</v>
      </c>
      <c r="H4" s="6" t="s">
        <v>89</v>
      </c>
    </row>
    <row r="5" spans="1:8" ht="30" x14ac:dyDescent="0.25">
      <c r="A5" s="4">
        <v>4</v>
      </c>
      <c r="B5" s="4" t="s">
        <v>89</v>
      </c>
      <c r="C5" s="5">
        <v>1</v>
      </c>
      <c r="D5" s="6" t="s">
        <v>101</v>
      </c>
      <c r="E5" s="7">
        <v>0</v>
      </c>
      <c r="F5" s="8">
        <v>45870</v>
      </c>
      <c r="G5" s="8">
        <v>45870</v>
      </c>
      <c r="H5" s="6" t="s">
        <v>89</v>
      </c>
    </row>
    <row r="6" spans="1:8" ht="30" x14ac:dyDescent="0.25">
      <c r="A6" s="4">
        <v>5</v>
      </c>
      <c r="B6" s="4" t="s">
        <v>89</v>
      </c>
      <c r="C6" s="5">
        <v>1</v>
      </c>
      <c r="D6" s="6" t="s">
        <v>102</v>
      </c>
      <c r="E6" s="7">
        <v>0</v>
      </c>
      <c r="F6" s="8">
        <v>45915</v>
      </c>
      <c r="G6" s="8">
        <v>45915</v>
      </c>
      <c r="H6" s="6" t="s">
        <v>89</v>
      </c>
    </row>
    <row r="7" spans="1:8" x14ac:dyDescent="0.25">
      <c r="A7" s="4">
        <v>6</v>
      </c>
      <c r="B7" s="4" t="s">
        <v>89</v>
      </c>
      <c r="C7" s="5">
        <v>1</v>
      </c>
      <c r="D7" s="6" t="s">
        <v>103</v>
      </c>
      <c r="E7" s="7">
        <v>0</v>
      </c>
      <c r="F7" s="8">
        <v>45908</v>
      </c>
      <c r="G7" s="8">
        <v>45908</v>
      </c>
      <c r="H7" s="6" t="s">
        <v>89</v>
      </c>
    </row>
    <row r="8" spans="1:8" x14ac:dyDescent="0.25">
      <c r="A8" s="4">
        <v>7</v>
      </c>
      <c r="B8" s="4" t="s">
        <v>89</v>
      </c>
      <c r="C8" s="5">
        <v>1</v>
      </c>
      <c r="D8" s="6" t="s">
        <v>104</v>
      </c>
      <c r="E8" s="7">
        <v>0</v>
      </c>
      <c r="F8" s="8">
        <v>45996</v>
      </c>
      <c r="G8" s="8">
        <v>45996</v>
      </c>
      <c r="H8" s="6" t="s">
        <v>89</v>
      </c>
    </row>
    <row r="9" spans="1:8" ht="30" x14ac:dyDescent="0.25">
      <c r="A9" s="4">
        <v>8</v>
      </c>
      <c r="B9" s="4" t="s">
        <v>89</v>
      </c>
      <c r="C9" s="5">
        <v>0.5</v>
      </c>
      <c r="D9" s="6" t="s">
        <v>105</v>
      </c>
      <c r="E9" s="7">
        <v>0</v>
      </c>
      <c r="F9" s="8">
        <v>46010</v>
      </c>
      <c r="G9" s="8">
        <v>46010</v>
      </c>
      <c r="H9" s="6" t="s">
        <v>106</v>
      </c>
    </row>
    <row r="10" spans="1:8" x14ac:dyDescent="0.25">
      <c r="A10" s="4">
        <v>9</v>
      </c>
      <c r="B10" s="4" t="s">
        <v>89</v>
      </c>
      <c r="C10" s="5">
        <v>1</v>
      </c>
      <c r="D10" s="6" t="s">
        <v>107</v>
      </c>
      <c r="E10" s="7">
        <v>0</v>
      </c>
      <c r="F10" s="8">
        <v>46373</v>
      </c>
      <c r="G10" s="8">
        <v>46373</v>
      </c>
      <c r="H10" s="6" t="s">
        <v>108</v>
      </c>
    </row>
    <row r="11" spans="1:8" x14ac:dyDescent="0.25">
      <c r="A11" s="4">
        <v>10</v>
      </c>
      <c r="B11" s="4" t="s">
        <v>89</v>
      </c>
      <c r="C11" s="5">
        <v>0</v>
      </c>
      <c r="D11" s="6" t="s">
        <v>109</v>
      </c>
      <c r="E11" s="7">
        <v>0</v>
      </c>
      <c r="F11" s="8">
        <v>46254</v>
      </c>
      <c r="G11" s="8">
        <v>46254</v>
      </c>
      <c r="H11" s="6" t="s">
        <v>110</v>
      </c>
    </row>
    <row r="12" spans="1:8" ht="30" x14ac:dyDescent="0.25">
      <c r="A12" s="4">
        <v>11</v>
      </c>
      <c r="B12" s="4" t="s">
        <v>89</v>
      </c>
      <c r="C12" s="5">
        <v>0</v>
      </c>
      <c r="D12" s="6" t="s">
        <v>111</v>
      </c>
      <c r="E12" s="7">
        <v>0</v>
      </c>
      <c r="F12" s="8">
        <v>46415</v>
      </c>
      <c r="G12" s="8">
        <v>46415</v>
      </c>
      <c r="H12" s="6" t="s">
        <v>112</v>
      </c>
    </row>
    <row r="13" spans="1:8" ht="30" x14ac:dyDescent="0.25">
      <c r="A13" s="4">
        <v>12</v>
      </c>
      <c r="B13" s="4" t="s">
        <v>89</v>
      </c>
      <c r="C13" s="5">
        <v>0</v>
      </c>
      <c r="D13" s="6" t="s">
        <v>113</v>
      </c>
      <c r="E13" s="7">
        <v>0</v>
      </c>
      <c r="F13" s="8">
        <v>46471</v>
      </c>
      <c r="G13" s="8">
        <v>46471</v>
      </c>
      <c r="H13" s="6" t="s">
        <v>114</v>
      </c>
    </row>
    <row r="14" spans="1:8" x14ac:dyDescent="0.25">
      <c r="A14" s="4">
        <v>13</v>
      </c>
      <c r="B14" s="4" t="s">
        <v>89</v>
      </c>
      <c r="C14" s="5">
        <v>0</v>
      </c>
      <c r="D14" s="6" t="s">
        <v>115</v>
      </c>
      <c r="E14" s="7">
        <v>0</v>
      </c>
      <c r="F14" s="8">
        <v>46444</v>
      </c>
      <c r="G14" s="8">
        <v>46444</v>
      </c>
      <c r="H14" s="6" t="s">
        <v>116</v>
      </c>
    </row>
    <row r="15" spans="1:8" ht="30" x14ac:dyDescent="0.25">
      <c r="A15" s="4">
        <v>14</v>
      </c>
      <c r="B15" s="4" t="s">
        <v>89</v>
      </c>
      <c r="C15" s="5">
        <v>0</v>
      </c>
      <c r="D15" s="6" t="s">
        <v>117</v>
      </c>
      <c r="E15" s="7">
        <v>0</v>
      </c>
      <c r="F15" s="8">
        <v>46583</v>
      </c>
      <c r="G15" s="8">
        <v>46583</v>
      </c>
      <c r="H15" s="6" t="s">
        <v>118</v>
      </c>
    </row>
    <row r="16" spans="1:8" x14ac:dyDescent="0.25">
      <c r="A16" s="4">
        <v>15</v>
      </c>
      <c r="B16" s="4" t="s">
        <v>89</v>
      </c>
      <c r="C16" s="5">
        <v>0</v>
      </c>
      <c r="D16" s="6" t="s">
        <v>119</v>
      </c>
      <c r="E16" s="7">
        <v>0</v>
      </c>
      <c r="F16" s="8">
        <v>46597</v>
      </c>
      <c r="G16" s="8">
        <v>46597</v>
      </c>
      <c r="H16" s="6" t="s">
        <v>116</v>
      </c>
    </row>
    <row r="17" spans="1:8" x14ac:dyDescent="0.25">
      <c r="A17" s="4">
        <v>16</v>
      </c>
      <c r="B17" s="4" t="s">
        <v>89</v>
      </c>
      <c r="C17" s="5">
        <v>0</v>
      </c>
      <c r="D17" s="6" t="s">
        <v>120</v>
      </c>
      <c r="E17" s="7">
        <v>0</v>
      </c>
      <c r="F17" s="8">
        <v>46597</v>
      </c>
      <c r="G17" s="8">
        <v>46597</v>
      </c>
      <c r="H17" s="6" t="s">
        <v>121</v>
      </c>
    </row>
    <row r="18" spans="1:8" x14ac:dyDescent="0.25">
      <c r="A18" s="4">
        <v>17</v>
      </c>
      <c r="B18" s="4" t="s">
        <v>89</v>
      </c>
      <c r="C18" s="5">
        <v>0</v>
      </c>
      <c r="D18" s="6" t="s">
        <v>122</v>
      </c>
      <c r="E18" s="7">
        <v>0</v>
      </c>
      <c r="F18" s="8">
        <v>46598</v>
      </c>
      <c r="G18" s="8">
        <v>46598</v>
      </c>
      <c r="H18" s="6" t="s">
        <v>123</v>
      </c>
    </row>
    <row r="19" spans="1:8" x14ac:dyDescent="0.25">
      <c r="A19" s="4">
        <v>18</v>
      </c>
      <c r="B19" s="4" t="s">
        <v>89</v>
      </c>
      <c r="C19" s="5">
        <v>0</v>
      </c>
      <c r="D19" s="6" t="s">
        <v>124</v>
      </c>
      <c r="E19" s="7">
        <v>0</v>
      </c>
      <c r="F19" s="8">
        <v>46598</v>
      </c>
      <c r="G19" s="8">
        <v>46598</v>
      </c>
      <c r="H19" s="6" t="s">
        <v>123</v>
      </c>
    </row>
    <row r="20" spans="1:8" x14ac:dyDescent="0.25">
      <c r="A20" s="4">
        <v>19</v>
      </c>
      <c r="B20" s="4" t="s">
        <v>89</v>
      </c>
      <c r="C20" s="5">
        <v>0.03</v>
      </c>
      <c r="D20" s="6" t="s">
        <v>125</v>
      </c>
      <c r="E20" s="7">
        <v>851</v>
      </c>
      <c r="F20" s="8">
        <v>45855</v>
      </c>
      <c r="G20" s="8">
        <v>46706</v>
      </c>
      <c r="H20" s="6" t="s">
        <v>89</v>
      </c>
    </row>
    <row r="21" spans="1:8" x14ac:dyDescent="0.25">
      <c r="A21" s="4">
        <v>20</v>
      </c>
      <c r="B21" s="4" t="s">
        <v>89</v>
      </c>
      <c r="C21" s="5">
        <v>0.99</v>
      </c>
      <c r="D21" s="6" t="s">
        <v>126</v>
      </c>
      <c r="E21" s="7">
        <v>87.56</v>
      </c>
      <c r="F21" s="8">
        <v>46081</v>
      </c>
      <c r="G21" s="8">
        <v>45994</v>
      </c>
      <c r="H21" s="6" t="s">
        <v>89</v>
      </c>
    </row>
    <row r="22" spans="1:8" ht="30" x14ac:dyDescent="0.25">
      <c r="A22" s="4">
        <v>21</v>
      </c>
      <c r="B22" s="4" t="s">
        <v>89</v>
      </c>
      <c r="C22" s="5">
        <v>1</v>
      </c>
      <c r="D22" s="6" t="s">
        <v>127</v>
      </c>
      <c r="E22" s="7">
        <v>60</v>
      </c>
      <c r="F22" s="8">
        <v>45996</v>
      </c>
      <c r="G22" s="8">
        <v>46056</v>
      </c>
      <c r="H22" s="6" t="s">
        <v>89</v>
      </c>
    </row>
    <row r="23" spans="1:8" x14ac:dyDescent="0.25">
      <c r="A23" s="4">
        <v>22</v>
      </c>
      <c r="B23" s="4" t="s">
        <v>89</v>
      </c>
      <c r="C23" s="5">
        <v>1</v>
      </c>
      <c r="D23" s="6" t="s">
        <v>128</v>
      </c>
      <c r="E23" s="7">
        <v>57</v>
      </c>
      <c r="F23" s="8">
        <v>45996</v>
      </c>
      <c r="G23" s="8">
        <v>46053</v>
      </c>
      <c r="H23" s="6" t="s">
        <v>89</v>
      </c>
    </row>
    <row r="24" spans="1:8" x14ac:dyDescent="0.25">
      <c r="A24" s="4">
        <v>23</v>
      </c>
      <c r="B24" s="4" t="s">
        <v>89</v>
      </c>
      <c r="C24" s="5">
        <v>1</v>
      </c>
      <c r="D24" s="6" t="s">
        <v>129</v>
      </c>
      <c r="E24" s="7">
        <v>60</v>
      </c>
      <c r="F24" s="8">
        <v>46053</v>
      </c>
      <c r="G24" s="8">
        <v>45994</v>
      </c>
      <c r="H24" s="6" t="s">
        <v>89</v>
      </c>
    </row>
    <row r="25" spans="1:8" ht="30" x14ac:dyDescent="0.25">
      <c r="A25" s="4">
        <v>24</v>
      </c>
      <c r="B25" s="4" t="s">
        <v>89</v>
      </c>
      <c r="C25" s="5">
        <v>0</v>
      </c>
      <c r="D25" s="6" t="s">
        <v>130</v>
      </c>
      <c r="E25" s="7">
        <v>0</v>
      </c>
      <c r="F25" s="8">
        <v>46081</v>
      </c>
      <c r="G25" s="8">
        <v>46081</v>
      </c>
      <c r="H25" s="6" t="s">
        <v>89</v>
      </c>
    </row>
    <row r="26" spans="1:8" ht="30" x14ac:dyDescent="0.25">
      <c r="A26" s="4">
        <v>25</v>
      </c>
      <c r="B26" s="4" t="s">
        <v>89</v>
      </c>
      <c r="C26" s="5">
        <v>0</v>
      </c>
      <c r="D26" s="6" t="s">
        <v>131</v>
      </c>
      <c r="E26" s="7">
        <v>681.44</v>
      </c>
      <c r="F26" s="8">
        <v>45855</v>
      </c>
      <c r="G26" s="8">
        <v>46536</v>
      </c>
      <c r="H26" s="6" t="s">
        <v>89</v>
      </c>
    </row>
    <row r="27" spans="1:8" x14ac:dyDescent="0.25">
      <c r="A27" s="4">
        <v>26</v>
      </c>
      <c r="B27" s="4" t="s">
        <v>89</v>
      </c>
      <c r="C27" s="5">
        <v>0</v>
      </c>
      <c r="D27" s="6" t="s">
        <v>132</v>
      </c>
      <c r="E27" s="7">
        <v>420</v>
      </c>
      <c r="F27" s="8">
        <v>46000</v>
      </c>
      <c r="G27" s="8">
        <v>46419</v>
      </c>
      <c r="H27" s="6" t="s">
        <v>89</v>
      </c>
    </row>
    <row r="28" spans="1:8" x14ac:dyDescent="0.25">
      <c r="A28" s="4">
        <v>27</v>
      </c>
      <c r="B28" s="4" t="s">
        <v>89</v>
      </c>
      <c r="C28" s="5">
        <v>0.06</v>
      </c>
      <c r="D28" s="6" t="s">
        <v>133</v>
      </c>
      <c r="E28" s="7">
        <v>53</v>
      </c>
      <c r="F28" s="8">
        <v>46073</v>
      </c>
      <c r="G28" s="8">
        <v>46020</v>
      </c>
      <c r="H28" s="6" t="s">
        <v>89</v>
      </c>
    </row>
    <row r="29" spans="1:8" x14ac:dyDescent="0.25">
      <c r="A29" s="4">
        <v>28</v>
      </c>
      <c r="B29" s="4" t="s">
        <v>89</v>
      </c>
      <c r="C29" s="5">
        <v>1</v>
      </c>
      <c r="D29" s="6" t="s">
        <v>134</v>
      </c>
      <c r="E29" s="7">
        <v>1</v>
      </c>
      <c r="F29" s="8">
        <v>46021</v>
      </c>
      <c r="G29" s="8">
        <v>46020</v>
      </c>
      <c r="H29" s="6" t="s">
        <v>89</v>
      </c>
    </row>
    <row r="30" spans="1:8" ht="30" x14ac:dyDescent="0.25">
      <c r="A30" s="4">
        <v>29</v>
      </c>
      <c r="B30" s="4" t="s">
        <v>89</v>
      </c>
      <c r="C30" s="5">
        <v>1</v>
      </c>
      <c r="D30" s="6" t="s">
        <v>135</v>
      </c>
      <c r="E30" s="7">
        <v>1</v>
      </c>
      <c r="F30" s="8">
        <v>46042</v>
      </c>
      <c r="G30" s="8">
        <v>46043</v>
      </c>
      <c r="H30" s="6" t="s">
        <v>89</v>
      </c>
    </row>
    <row r="31" spans="1:8" x14ac:dyDescent="0.25">
      <c r="A31" s="4">
        <v>30</v>
      </c>
      <c r="B31" s="4" t="s">
        <v>89</v>
      </c>
      <c r="C31" s="5">
        <v>0</v>
      </c>
      <c r="D31" s="6" t="s">
        <v>136</v>
      </c>
      <c r="E31" s="7">
        <v>30</v>
      </c>
      <c r="F31" s="8">
        <v>46073</v>
      </c>
      <c r="G31" s="8">
        <v>46043</v>
      </c>
      <c r="H31" s="6" t="s">
        <v>89</v>
      </c>
    </row>
    <row r="32" spans="1:8" x14ac:dyDescent="0.25">
      <c r="A32" s="4">
        <v>31</v>
      </c>
      <c r="B32" s="4" t="s">
        <v>89</v>
      </c>
      <c r="C32" s="5">
        <v>0</v>
      </c>
      <c r="D32" s="6" t="s">
        <v>137</v>
      </c>
      <c r="E32" s="7">
        <v>128.5</v>
      </c>
      <c r="F32" s="8">
        <v>46049</v>
      </c>
      <c r="G32" s="8">
        <v>46178</v>
      </c>
      <c r="H32" s="6" t="s">
        <v>89</v>
      </c>
    </row>
    <row r="33" spans="1:8" x14ac:dyDescent="0.25">
      <c r="A33" s="4">
        <v>32</v>
      </c>
      <c r="B33" s="4" t="s">
        <v>89</v>
      </c>
      <c r="C33" s="5">
        <v>1</v>
      </c>
      <c r="D33" s="6" t="s">
        <v>138</v>
      </c>
      <c r="E33" s="7">
        <v>0</v>
      </c>
      <c r="F33" s="8">
        <v>46049</v>
      </c>
      <c r="G33" s="8">
        <v>46049</v>
      </c>
      <c r="H33" s="6" t="s">
        <v>89</v>
      </c>
    </row>
    <row r="34" spans="1:8" ht="30" x14ac:dyDescent="0.25">
      <c r="A34" s="4">
        <v>33</v>
      </c>
      <c r="B34" s="4" t="s">
        <v>89</v>
      </c>
      <c r="C34" s="5">
        <v>0</v>
      </c>
      <c r="D34" s="6" t="s">
        <v>139</v>
      </c>
      <c r="E34" s="7">
        <v>107</v>
      </c>
      <c r="F34" s="8">
        <v>46049</v>
      </c>
      <c r="G34" s="8">
        <v>46156</v>
      </c>
      <c r="H34" s="6" t="s">
        <v>89</v>
      </c>
    </row>
    <row r="35" spans="1:8" x14ac:dyDescent="0.25">
      <c r="A35" s="4">
        <v>34</v>
      </c>
      <c r="B35" s="4" t="s">
        <v>89</v>
      </c>
      <c r="C35" s="5">
        <v>0</v>
      </c>
      <c r="D35" s="6" t="s">
        <v>140</v>
      </c>
      <c r="E35" s="7">
        <v>0.5</v>
      </c>
      <c r="F35" s="8">
        <v>46156</v>
      </c>
      <c r="G35" s="8">
        <v>46157</v>
      </c>
      <c r="H35" s="6" t="s">
        <v>89</v>
      </c>
    </row>
    <row r="36" spans="1:8" ht="30" x14ac:dyDescent="0.25">
      <c r="A36" s="4">
        <v>35</v>
      </c>
      <c r="B36" s="4" t="s">
        <v>89</v>
      </c>
      <c r="C36" s="5">
        <v>0</v>
      </c>
      <c r="D36" s="6" t="s">
        <v>141</v>
      </c>
      <c r="E36" s="7">
        <v>21</v>
      </c>
      <c r="F36" s="8">
        <v>46157</v>
      </c>
      <c r="G36" s="8">
        <v>46178</v>
      </c>
      <c r="H36" s="6" t="s">
        <v>89</v>
      </c>
    </row>
    <row r="37" spans="1:8" x14ac:dyDescent="0.25">
      <c r="A37" s="4">
        <v>36</v>
      </c>
      <c r="B37" s="4" t="s">
        <v>89</v>
      </c>
      <c r="C37" s="5">
        <v>0</v>
      </c>
      <c r="D37" s="6" t="s">
        <v>142</v>
      </c>
      <c r="E37" s="7">
        <v>240</v>
      </c>
      <c r="F37" s="8">
        <v>46082</v>
      </c>
      <c r="G37" s="8">
        <v>46322</v>
      </c>
      <c r="H37" s="6" t="s">
        <v>89</v>
      </c>
    </row>
    <row r="38" spans="1:8" x14ac:dyDescent="0.25">
      <c r="A38" s="4">
        <v>37</v>
      </c>
      <c r="B38" s="4" t="s">
        <v>89</v>
      </c>
      <c r="C38" s="5">
        <v>0</v>
      </c>
      <c r="D38" s="6" t="s">
        <v>138</v>
      </c>
      <c r="E38" s="7">
        <v>0</v>
      </c>
      <c r="F38" s="8">
        <v>46082</v>
      </c>
      <c r="G38" s="8">
        <v>46082</v>
      </c>
      <c r="H38" s="6" t="s">
        <v>143</v>
      </c>
    </row>
    <row r="39" spans="1:8" x14ac:dyDescent="0.25">
      <c r="A39" s="4">
        <v>38</v>
      </c>
      <c r="B39" s="4" t="s">
        <v>89</v>
      </c>
      <c r="C39" s="5">
        <v>0</v>
      </c>
      <c r="D39" s="6" t="s">
        <v>144</v>
      </c>
      <c r="E39" s="7">
        <v>210</v>
      </c>
      <c r="F39" s="8">
        <v>46082</v>
      </c>
      <c r="G39" s="8">
        <v>46292</v>
      </c>
      <c r="H39" s="6" t="s">
        <v>89</v>
      </c>
    </row>
    <row r="40" spans="1:8" ht="30" x14ac:dyDescent="0.25">
      <c r="A40" s="4">
        <v>39</v>
      </c>
      <c r="B40" s="4" t="s">
        <v>89</v>
      </c>
      <c r="C40" s="5">
        <v>0</v>
      </c>
      <c r="D40" s="6" t="s">
        <v>141</v>
      </c>
      <c r="E40" s="7">
        <v>30</v>
      </c>
      <c r="F40" s="8">
        <v>46292</v>
      </c>
      <c r="G40" s="8">
        <v>46322</v>
      </c>
      <c r="H40" s="6" t="s">
        <v>89</v>
      </c>
    </row>
    <row r="41" spans="1:8" x14ac:dyDescent="0.25">
      <c r="A41" s="4">
        <v>40</v>
      </c>
      <c r="B41" s="4" t="s">
        <v>89</v>
      </c>
      <c r="C41" s="5">
        <v>0</v>
      </c>
      <c r="D41" s="6" t="s">
        <v>145</v>
      </c>
      <c r="E41" s="7">
        <v>300</v>
      </c>
      <c r="F41" s="8">
        <v>46082</v>
      </c>
      <c r="G41" s="8">
        <v>46382</v>
      </c>
      <c r="H41" s="6" t="s">
        <v>89</v>
      </c>
    </row>
    <row r="42" spans="1:8" x14ac:dyDescent="0.25">
      <c r="A42" s="4">
        <v>41</v>
      </c>
      <c r="B42" s="4" t="s">
        <v>89</v>
      </c>
      <c r="C42" s="5">
        <v>0</v>
      </c>
      <c r="D42" s="6" t="s">
        <v>138</v>
      </c>
      <c r="E42" s="7">
        <v>0</v>
      </c>
      <c r="F42" s="8">
        <v>46082</v>
      </c>
      <c r="G42" s="8">
        <v>46082</v>
      </c>
      <c r="H42" s="6" t="s">
        <v>143</v>
      </c>
    </row>
    <row r="43" spans="1:8" x14ac:dyDescent="0.25">
      <c r="A43" s="4">
        <v>42</v>
      </c>
      <c r="B43" s="4" t="s">
        <v>89</v>
      </c>
      <c r="C43" s="5">
        <v>0</v>
      </c>
      <c r="D43" s="6" t="s">
        <v>144</v>
      </c>
      <c r="E43" s="7">
        <v>240</v>
      </c>
      <c r="F43" s="8">
        <v>46082</v>
      </c>
      <c r="G43" s="8">
        <v>46322</v>
      </c>
      <c r="H43" s="6" t="s">
        <v>89</v>
      </c>
    </row>
    <row r="44" spans="1:8" x14ac:dyDescent="0.25">
      <c r="A44" s="4">
        <v>43</v>
      </c>
      <c r="B44" s="4" t="s">
        <v>89</v>
      </c>
      <c r="C44" s="5">
        <v>0</v>
      </c>
      <c r="D44" s="6" t="s">
        <v>146</v>
      </c>
      <c r="E44" s="7">
        <v>30</v>
      </c>
      <c r="F44" s="8">
        <v>46322</v>
      </c>
      <c r="G44" s="8">
        <v>46352</v>
      </c>
      <c r="H44" s="6" t="s">
        <v>89</v>
      </c>
    </row>
    <row r="45" spans="1:8" ht="30" x14ac:dyDescent="0.25">
      <c r="A45" s="4">
        <v>44</v>
      </c>
      <c r="B45" s="4" t="s">
        <v>89</v>
      </c>
      <c r="C45" s="5">
        <v>0</v>
      </c>
      <c r="D45" s="6" t="s">
        <v>141</v>
      </c>
      <c r="E45" s="7">
        <v>30</v>
      </c>
      <c r="F45" s="8">
        <v>46352</v>
      </c>
      <c r="G45" s="8">
        <v>46382</v>
      </c>
      <c r="H45" s="6" t="s">
        <v>89</v>
      </c>
    </row>
    <row r="46" spans="1:8" ht="30" x14ac:dyDescent="0.25">
      <c r="A46" s="4">
        <v>45</v>
      </c>
      <c r="B46" s="4" t="s">
        <v>89</v>
      </c>
      <c r="C46" s="5">
        <v>0</v>
      </c>
      <c r="D46" s="6" t="s">
        <v>147</v>
      </c>
      <c r="E46" s="7">
        <v>330</v>
      </c>
      <c r="F46" s="8">
        <v>46385</v>
      </c>
      <c r="G46" s="8">
        <v>46055</v>
      </c>
      <c r="H46" s="6" t="s">
        <v>89</v>
      </c>
    </row>
    <row r="47" spans="1:8" x14ac:dyDescent="0.25">
      <c r="A47" s="4">
        <v>46</v>
      </c>
      <c r="B47" s="4" t="s">
        <v>89</v>
      </c>
      <c r="C47" s="5">
        <v>0</v>
      </c>
      <c r="D47" s="6" t="s">
        <v>148</v>
      </c>
      <c r="E47" s="7">
        <v>0</v>
      </c>
      <c r="F47" s="8">
        <v>46055</v>
      </c>
      <c r="G47" s="8">
        <v>46055</v>
      </c>
      <c r="H47" s="6" t="s">
        <v>89</v>
      </c>
    </row>
    <row r="48" spans="1:8" x14ac:dyDescent="0.25">
      <c r="A48" s="4">
        <v>47</v>
      </c>
      <c r="B48" s="4" t="s">
        <v>89</v>
      </c>
      <c r="C48" s="5">
        <v>0</v>
      </c>
      <c r="D48" s="6" t="s">
        <v>149</v>
      </c>
      <c r="E48" s="7">
        <v>60</v>
      </c>
      <c r="F48" s="8">
        <v>46115</v>
      </c>
      <c r="G48" s="8">
        <v>46055</v>
      </c>
      <c r="H48" s="6" t="s">
        <v>89</v>
      </c>
    </row>
    <row r="49" spans="1:8" x14ac:dyDescent="0.25">
      <c r="A49" s="4">
        <v>48</v>
      </c>
      <c r="B49" s="4" t="s">
        <v>89</v>
      </c>
      <c r="C49" s="5">
        <v>0</v>
      </c>
      <c r="D49" s="6" t="s">
        <v>150</v>
      </c>
      <c r="E49" s="7">
        <v>240</v>
      </c>
      <c r="F49" s="8">
        <v>46115</v>
      </c>
      <c r="G49" s="8">
        <v>46355</v>
      </c>
      <c r="H49" s="6" t="s">
        <v>89</v>
      </c>
    </row>
    <row r="50" spans="1:8" ht="30" x14ac:dyDescent="0.25">
      <c r="A50" s="4">
        <v>49</v>
      </c>
      <c r="B50" s="4" t="s">
        <v>89</v>
      </c>
      <c r="C50" s="5">
        <v>0</v>
      </c>
      <c r="D50" s="6" t="s">
        <v>141</v>
      </c>
      <c r="E50" s="7">
        <v>30</v>
      </c>
      <c r="F50" s="8">
        <v>46355</v>
      </c>
      <c r="G50" s="8">
        <v>46385</v>
      </c>
      <c r="H50" s="6" t="s">
        <v>89</v>
      </c>
    </row>
    <row r="51" spans="1:8" ht="30" x14ac:dyDescent="0.25">
      <c r="A51" s="4">
        <v>50</v>
      </c>
      <c r="B51" s="4" t="s">
        <v>89</v>
      </c>
      <c r="C51" s="5">
        <v>0</v>
      </c>
      <c r="D51" s="6" t="s">
        <v>151</v>
      </c>
      <c r="E51" s="7">
        <v>323</v>
      </c>
      <c r="F51" s="8">
        <v>46059</v>
      </c>
      <c r="G51" s="8">
        <v>46382</v>
      </c>
      <c r="H51" s="6" t="s">
        <v>89</v>
      </c>
    </row>
    <row r="52" spans="1:8" x14ac:dyDescent="0.25">
      <c r="A52" s="4">
        <v>51</v>
      </c>
      <c r="B52" s="4" t="s">
        <v>89</v>
      </c>
      <c r="C52" s="5">
        <v>0</v>
      </c>
      <c r="D52" s="6" t="s">
        <v>152</v>
      </c>
      <c r="E52" s="7">
        <v>0</v>
      </c>
      <c r="F52" s="8">
        <v>46059</v>
      </c>
      <c r="G52" s="8">
        <v>46059</v>
      </c>
      <c r="H52" s="6" t="s">
        <v>89</v>
      </c>
    </row>
    <row r="53" spans="1:8" x14ac:dyDescent="0.25">
      <c r="A53" s="4">
        <v>52</v>
      </c>
      <c r="B53" s="4" t="s">
        <v>89</v>
      </c>
      <c r="C53" s="5">
        <v>0</v>
      </c>
      <c r="D53" s="6" t="s">
        <v>153</v>
      </c>
      <c r="E53" s="7">
        <v>0</v>
      </c>
      <c r="F53" s="8">
        <v>46066</v>
      </c>
      <c r="G53" s="8">
        <v>46066</v>
      </c>
      <c r="H53" s="6" t="s">
        <v>154</v>
      </c>
    </row>
    <row r="54" spans="1:8" x14ac:dyDescent="0.25">
      <c r="A54" s="4">
        <v>53</v>
      </c>
      <c r="B54" s="4" t="s">
        <v>89</v>
      </c>
      <c r="C54" s="5">
        <v>0</v>
      </c>
      <c r="D54" s="6" t="s">
        <v>155</v>
      </c>
      <c r="E54" s="7">
        <v>137</v>
      </c>
      <c r="F54" s="8">
        <v>46066</v>
      </c>
      <c r="G54" s="8">
        <v>46203</v>
      </c>
      <c r="H54" s="6" t="s">
        <v>89</v>
      </c>
    </row>
    <row r="55" spans="1:8" x14ac:dyDescent="0.25">
      <c r="A55" s="4">
        <v>54</v>
      </c>
      <c r="B55" s="4" t="s">
        <v>89</v>
      </c>
      <c r="C55" s="5">
        <v>0</v>
      </c>
      <c r="D55" s="6" t="s">
        <v>156</v>
      </c>
      <c r="E55" s="7">
        <v>120</v>
      </c>
      <c r="F55" s="8">
        <v>46082</v>
      </c>
      <c r="G55" s="8">
        <v>46202</v>
      </c>
      <c r="H55" s="6" t="s">
        <v>89</v>
      </c>
    </row>
    <row r="56" spans="1:8" ht="30" x14ac:dyDescent="0.25">
      <c r="A56" s="4">
        <v>55</v>
      </c>
      <c r="B56" s="4" t="s">
        <v>89</v>
      </c>
      <c r="C56" s="5">
        <v>0</v>
      </c>
      <c r="D56" s="6" t="s">
        <v>157</v>
      </c>
      <c r="E56" s="7">
        <v>300</v>
      </c>
      <c r="F56" s="8">
        <v>46082</v>
      </c>
      <c r="G56" s="8">
        <v>46382</v>
      </c>
      <c r="H56" s="6" t="s">
        <v>89</v>
      </c>
    </row>
    <row r="57" spans="1:8" x14ac:dyDescent="0.25">
      <c r="A57" s="4">
        <v>56</v>
      </c>
      <c r="B57" s="4" t="s">
        <v>89</v>
      </c>
      <c r="C57" s="5">
        <v>0</v>
      </c>
      <c r="D57" s="6" t="s">
        <v>158</v>
      </c>
      <c r="E57" s="7">
        <v>390</v>
      </c>
      <c r="F57" s="8">
        <v>46000</v>
      </c>
      <c r="G57" s="8">
        <v>46389</v>
      </c>
      <c r="H57" s="6" t="s">
        <v>89</v>
      </c>
    </row>
    <row r="58" spans="1:8" x14ac:dyDescent="0.25">
      <c r="A58" s="4">
        <v>57</v>
      </c>
      <c r="B58" s="4" t="s">
        <v>89</v>
      </c>
      <c r="C58" s="5">
        <v>0</v>
      </c>
      <c r="D58" s="6" t="s">
        <v>159</v>
      </c>
      <c r="E58" s="7">
        <v>0</v>
      </c>
      <c r="F58" s="8">
        <v>46000</v>
      </c>
      <c r="G58" s="8">
        <v>46000</v>
      </c>
      <c r="H58" s="6" t="s">
        <v>89</v>
      </c>
    </row>
    <row r="59" spans="1:8" ht="30" x14ac:dyDescent="0.25">
      <c r="A59" s="4">
        <v>58</v>
      </c>
      <c r="B59" s="4" t="s">
        <v>89</v>
      </c>
      <c r="C59" s="5">
        <v>0</v>
      </c>
      <c r="D59" s="6" t="s">
        <v>139</v>
      </c>
      <c r="E59" s="7">
        <v>330</v>
      </c>
      <c r="F59" s="8">
        <v>46000</v>
      </c>
      <c r="G59" s="8">
        <v>46329</v>
      </c>
      <c r="H59" s="6" t="s">
        <v>89</v>
      </c>
    </row>
    <row r="60" spans="1:8" x14ac:dyDescent="0.25">
      <c r="A60" s="4">
        <v>59</v>
      </c>
      <c r="B60" s="4" t="s">
        <v>89</v>
      </c>
      <c r="C60" s="5">
        <v>0</v>
      </c>
      <c r="D60" s="6" t="s">
        <v>140</v>
      </c>
      <c r="E60" s="7">
        <v>30</v>
      </c>
      <c r="F60" s="8">
        <v>46359</v>
      </c>
      <c r="G60" s="8">
        <v>46330</v>
      </c>
      <c r="H60" s="6" t="s">
        <v>89</v>
      </c>
    </row>
    <row r="61" spans="1:8" x14ac:dyDescent="0.25">
      <c r="A61" s="4">
        <v>60</v>
      </c>
      <c r="B61" s="4" t="s">
        <v>89</v>
      </c>
      <c r="C61" s="5">
        <v>0</v>
      </c>
      <c r="D61" s="6" t="s">
        <v>160</v>
      </c>
      <c r="E61" s="7">
        <v>45</v>
      </c>
      <c r="F61" s="8">
        <v>46345</v>
      </c>
      <c r="G61" s="8">
        <v>46389</v>
      </c>
      <c r="H61" s="6" t="s">
        <v>89</v>
      </c>
    </row>
    <row r="62" spans="1:8" x14ac:dyDescent="0.25">
      <c r="A62" s="4">
        <v>61</v>
      </c>
      <c r="B62" s="4" t="s">
        <v>89</v>
      </c>
      <c r="C62" s="5">
        <v>0</v>
      </c>
      <c r="D62" s="6" t="s">
        <v>161</v>
      </c>
      <c r="E62" s="7">
        <v>30</v>
      </c>
      <c r="F62" s="8">
        <v>46389</v>
      </c>
      <c r="G62" s="8">
        <v>46419</v>
      </c>
      <c r="H62" s="6" t="s">
        <v>89</v>
      </c>
    </row>
    <row r="63" spans="1:8" x14ac:dyDescent="0.25">
      <c r="A63" s="4">
        <v>62</v>
      </c>
      <c r="B63" s="4" t="s">
        <v>89</v>
      </c>
      <c r="C63" s="5">
        <v>0</v>
      </c>
      <c r="D63" s="6" t="s">
        <v>138</v>
      </c>
      <c r="E63" s="7">
        <v>0</v>
      </c>
      <c r="F63" s="8">
        <v>46389</v>
      </c>
      <c r="G63" s="8">
        <v>46389</v>
      </c>
      <c r="H63" s="6" t="s">
        <v>162</v>
      </c>
    </row>
    <row r="64" spans="1:8" x14ac:dyDescent="0.25">
      <c r="A64" s="4">
        <v>63</v>
      </c>
      <c r="B64" s="4" t="s">
        <v>89</v>
      </c>
      <c r="C64" s="5">
        <v>0</v>
      </c>
      <c r="D64" s="6" t="s">
        <v>163</v>
      </c>
      <c r="E64" s="7">
        <v>30</v>
      </c>
      <c r="F64" s="8">
        <v>46390</v>
      </c>
      <c r="G64" s="8">
        <v>46419</v>
      </c>
      <c r="H64" s="6" t="s">
        <v>89</v>
      </c>
    </row>
    <row r="65" spans="1:8" x14ac:dyDescent="0.25">
      <c r="A65" s="4">
        <v>64</v>
      </c>
      <c r="B65" s="4" t="s">
        <v>89</v>
      </c>
      <c r="C65" s="5">
        <v>0</v>
      </c>
      <c r="D65" s="6" t="s">
        <v>164</v>
      </c>
      <c r="E65" s="7">
        <v>30</v>
      </c>
      <c r="F65" s="8">
        <v>46390</v>
      </c>
      <c r="G65" s="8">
        <v>46419</v>
      </c>
      <c r="H65" s="6" t="s">
        <v>89</v>
      </c>
    </row>
    <row r="66" spans="1:8" x14ac:dyDescent="0.25">
      <c r="A66" s="4">
        <v>65</v>
      </c>
      <c r="B66" s="4" t="s">
        <v>89</v>
      </c>
      <c r="C66" s="5">
        <v>0</v>
      </c>
      <c r="D66" s="6" t="s">
        <v>165</v>
      </c>
      <c r="E66" s="7">
        <v>290</v>
      </c>
      <c r="F66" s="8">
        <v>46112</v>
      </c>
      <c r="G66" s="8">
        <v>46402</v>
      </c>
      <c r="H66" s="6" t="s">
        <v>89</v>
      </c>
    </row>
    <row r="67" spans="1:8" x14ac:dyDescent="0.25">
      <c r="A67" s="4">
        <v>66</v>
      </c>
      <c r="B67" s="4" t="s">
        <v>89</v>
      </c>
      <c r="C67" s="5">
        <v>0</v>
      </c>
      <c r="D67" s="6" t="s">
        <v>148</v>
      </c>
      <c r="E67" s="7">
        <v>0</v>
      </c>
      <c r="F67" s="8">
        <v>46112</v>
      </c>
      <c r="G67" s="8">
        <v>46112</v>
      </c>
      <c r="H67" s="6" t="s">
        <v>89</v>
      </c>
    </row>
    <row r="68" spans="1:8" x14ac:dyDescent="0.25">
      <c r="A68" s="4">
        <v>67</v>
      </c>
      <c r="B68" s="4" t="s">
        <v>89</v>
      </c>
      <c r="C68" s="5">
        <v>0</v>
      </c>
      <c r="D68" s="6" t="s">
        <v>149</v>
      </c>
      <c r="E68" s="7">
        <v>60</v>
      </c>
      <c r="F68" s="8">
        <v>46112</v>
      </c>
      <c r="G68" s="8">
        <v>46172</v>
      </c>
      <c r="H68" s="6" t="s">
        <v>89</v>
      </c>
    </row>
    <row r="69" spans="1:8" x14ac:dyDescent="0.25">
      <c r="A69" s="4">
        <v>68</v>
      </c>
      <c r="B69" s="4" t="s">
        <v>89</v>
      </c>
      <c r="C69" s="5">
        <v>0</v>
      </c>
      <c r="D69" s="6" t="s">
        <v>150</v>
      </c>
      <c r="E69" s="7">
        <v>200</v>
      </c>
      <c r="F69" s="8">
        <v>46172</v>
      </c>
      <c r="G69" s="8">
        <v>46372</v>
      </c>
      <c r="H69" s="6" t="s">
        <v>89</v>
      </c>
    </row>
    <row r="70" spans="1:8" ht="30" x14ac:dyDescent="0.25">
      <c r="A70" s="4">
        <v>69</v>
      </c>
      <c r="B70" s="4" t="s">
        <v>89</v>
      </c>
      <c r="C70" s="5">
        <v>0</v>
      </c>
      <c r="D70" s="6" t="s">
        <v>141</v>
      </c>
      <c r="E70" s="7">
        <v>30</v>
      </c>
      <c r="F70" s="8">
        <v>46402</v>
      </c>
      <c r="G70" s="8">
        <v>46372</v>
      </c>
      <c r="H70" s="6" t="s">
        <v>89</v>
      </c>
    </row>
    <row r="71" spans="1:8" x14ac:dyDescent="0.25">
      <c r="A71" s="4">
        <v>70</v>
      </c>
      <c r="B71" s="4" t="s">
        <v>89</v>
      </c>
      <c r="C71" s="5">
        <v>0</v>
      </c>
      <c r="D71" s="6" t="s">
        <v>166</v>
      </c>
      <c r="E71" s="7">
        <v>353</v>
      </c>
      <c r="F71" s="8">
        <v>46049</v>
      </c>
      <c r="G71" s="8">
        <v>46402</v>
      </c>
      <c r="H71" s="6" t="s">
        <v>89</v>
      </c>
    </row>
    <row r="72" spans="1:8" x14ac:dyDescent="0.25">
      <c r="A72" s="4">
        <v>71</v>
      </c>
      <c r="B72" s="4" t="s">
        <v>89</v>
      </c>
      <c r="C72" s="5">
        <v>0</v>
      </c>
      <c r="D72" s="6" t="s">
        <v>138</v>
      </c>
      <c r="E72" s="7">
        <v>0</v>
      </c>
      <c r="F72" s="8">
        <v>46049</v>
      </c>
      <c r="G72" s="8">
        <v>46049</v>
      </c>
      <c r="H72" s="6" t="s">
        <v>89</v>
      </c>
    </row>
    <row r="73" spans="1:8" ht="30" x14ac:dyDescent="0.25">
      <c r="A73" s="4">
        <v>72</v>
      </c>
      <c r="B73" s="4" t="s">
        <v>89</v>
      </c>
      <c r="C73" s="5">
        <v>0</v>
      </c>
      <c r="D73" s="6" t="s">
        <v>139</v>
      </c>
      <c r="E73" s="7">
        <v>120</v>
      </c>
      <c r="F73" s="8">
        <v>46049</v>
      </c>
      <c r="G73" s="8">
        <v>46169</v>
      </c>
      <c r="H73" s="6" t="s">
        <v>89</v>
      </c>
    </row>
    <row r="74" spans="1:8" ht="30" x14ac:dyDescent="0.25">
      <c r="A74" s="4">
        <v>73</v>
      </c>
      <c r="B74" s="4" t="s">
        <v>89</v>
      </c>
      <c r="C74" s="5">
        <v>0</v>
      </c>
      <c r="D74" s="6" t="s">
        <v>141</v>
      </c>
      <c r="E74" s="7">
        <v>30</v>
      </c>
      <c r="F74" s="8">
        <v>46402</v>
      </c>
      <c r="G74" s="8">
        <v>46372</v>
      </c>
      <c r="H74" s="6" t="s">
        <v>89</v>
      </c>
    </row>
    <row r="75" spans="1:8" x14ac:dyDescent="0.25">
      <c r="A75" s="4">
        <v>74</v>
      </c>
      <c r="B75" s="4" t="s">
        <v>89</v>
      </c>
      <c r="C75" s="5">
        <v>0</v>
      </c>
      <c r="D75" s="6" t="s">
        <v>167</v>
      </c>
      <c r="E75" s="7">
        <v>622.44000000000005</v>
      </c>
      <c r="F75" s="8">
        <v>45855</v>
      </c>
      <c r="G75" s="8">
        <v>46477</v>
      </c>
      <c r="H75" s="6" t="s">
        <v>89</v>
      </c>
    </row>
    <row r="76" spans="1:8" x14ac:dyDescent="0.25">
      <c r="A76" s="4">
        <v>75</v>
      </c>
      <c r="B76" s="4" t="s">
        <v>89</v>
      </c>
      <c r="C76" s="5">
        <v>0</v>
      </c>
      <c r="D76" s="6" t="s">
        <v>168</v>
      </c>
      <c r="E76" s="7">
        <v>120</v>
      </c>
      <c r="F76" s="8">
        <v>45855</v>
      </c>
      <c r="G76" s="8">
        <v>45975</v>
      </c>
      <c r="H76" s="6" t="s">
        <v>89</v>
      </c>
    </row>
    <row r="77" spans="1:8" x14ac:dyDescent="0.25">
      <c r="A77" s="4">
        <v>76</v>
      </c>
      <c r="B77" s="4" t="s">
        <v>89</v>
      </c>
      <c r="C77" s="5">
        <v>0</v>
      </c>
      <c r="D77" s="6" t="s">
        <v>169</v>
      </c>
      <c r="E77" s="7">
        <v>390</v>
      </c>
      <c r="F77" s="8">
        <v>46000</v>
      </c>
      <c r="G77" s="8">
        <v>46389</v>
      </c>
      <c r="H77" s="6" t="s">
        <v>89</v>
      </c>
    </row>
    <row r="78" spans="1:8" x14ac:dyDescent="0.25">
      <c r="A78" s="4">
        <v>77</v>
      </c>
      <c r="B78" s="4" t="s">
        <v>89</v>
      </c>
      <c r="C78" s="5">
        <v>1</v>
      </c>
      <c r="D78" s="6" t="s">
        <v>170</v>
      </c>
      <c r="E78" s="7">
        <v>0</v>
      </c>
      <c r="F78" s="8">
        <v>46000</v>
      </c>
      <c r="G78" s="8">
        <v>46000</v>
      </c>
      <c r="H78" s="6" t="s">
        <v>89</v>
      </c>
    </row>
    <row r="79" spans="1:8" x14ac:dyDescent="0.25">
      <c r="A79" s="4">
        <v>78</v>
      </c>
      <c r="B79" s="4" t="s">
        <v>89</v>
      </c>
      <c r="C79" s="5">
        <v>0</v>
      </c>
      <c r="D79" s="6" t="s">
        <v>144</v>
      </c>
      <c r="E79" s="7">
        <v>330</v>
      </c>
      <c r="F79" s="8">
        <v>46000</v>
      </c>
      <c r="G79" s="8">
        <v>46329</v>
      </c>
      <c r="H79" s="6" t="s">
        <v>89</v>
      </c>
    </row>
    <row r="80" spans="1:8" x14ac:dyDescent="0.25">
      <c r="A80" s="4">
        <v>79</v>
      </c>
      <c r="B80" s="4" t="s">
        <v>89</v>
      </c>
      <c r="C80" s="5">
        <v>0</v>
      </c>
      <c r="D80" s="6" t="s">
        <v>171</v>
      </c>
      <c r="E80" s="7">
        <v>30</v>
      </c>
      <c r="F80" s="8">
        <v>46359</v>
      </c>
      <c r="G80" s="8">
        <v>46330</v>
      </c>
      <c r="H80" s="6" t="s">
        <v>89</v>
      </c>
    </row>
    <row r="81" spans="1:8" x14ac:dyDescent="0.25">
      <c r="A81" s="4">
        <v>80</v>
      </c>
      <c r="B81" s="4" t="s">
        <v>89</v>
      </c>
      <c r="C81" s="5">
        <v>0</v>
      </c>
      <c r="D81" s="6" t="s">
        <v>160</v>
      </c>
      <c r="E81" s="7">
        <v>30</v>
      </c>
      <c r="F81" s="8">
        <v>46360</v>
      </c>
      <c r="G81" s="8">
        <v>46389</v>
      </c>
      <c r="H81" s="6" t="s">
        <v>89</v>
      </c>
    </row>
    <row r="82" spans="1:8" ht="30" x14ac:dyDescent="0.25">
      <c r="A82" s="4">
        <v>81</v>
      </c>
      <c r="B82" s="4" t="s">
        <v>89</v>
      </c>
      <c r="C82" s="5">
        <v>0</v>
      </c>
      <c r="D82" s="6" t="s">
        <v>172</v>
      </c>
      <c r="E82" s="7">
        <v>427.44</v>
      </c>
      <c r="F82" s="8">
        <v>46050</v>
      </c>
      <c r="G82" s="8">
        <v>46477</v>
      </c>
      <c r="H82" s="6" t="s">
        <v>89</v>
      </c>
    </row>
    <row r="83" spans="1:8" x14ac:dyDescent="0.25">
      <c r="A83" s="4">
        <v>82</v>
      </c>
      <c r="B83" s="4" t="s">
        <v>89</v>
      </c>
      <c r="C83" s="5">
        <v>0</v>
      </c>
      <c r="D83" s="6" t="s">
        <v>138</v>
      </c>
      <c r="E83" s="7">
        <v>0</v>
      </c>
      <c r="F83" s="8">
        <v>46050</v>
      </c>
      <c r="G83" s="8">
        <v>46050</v>
      </c>
      <c r="H83" s="6" t="s">
        <v>89</v>
      </c>
    </row>
    <row r="84" spans="1:8" ht="30" x14ac:dyDescent="0.25">
      <c r="A84" s="4">
        <v>83</v>
      </c>
      <c r="B84" s="4" t="s">
        <v>89</v>
      </c>
      <c r="C84" s="5">
        <v>0</v>
      </c>
      <c r="D84" s="6" t="s">
        <v>173</v>
      </c>
      <c r="E84" s="7">
        <v>300</v>
      </c>
      <c r="F84" s="8">
        <v>46178</v>
      </c>
      <c r="G84" s="8">
        <v>46477</v>
      </c>
      <c r="H84" s="6" t="s">
        <v>89</v>
      </c>
    </row>
    <row r="85" spans="1:8" ht="45" x14ac:dyDescent="0.25">
      <c r="A85" s="4">
        <v>84</v>
      </c>
      <c r="B85" s="4" t="s">
        <v>89</v>
      </c>
      <c r="C85" s="5">
        <v>0</v>
      </c>
      <c r="D85" s="6" t="s">
        <v>174</v>
      </c>
      <c r="E85" s="7">
        <v>409</v>
      </c>
      <c r="F85" s="8">
        <v>46069</v>
      </c>
      <c r="G85" s="8">
        <v>46477</v>
      </c>
      <c r="H85" s="6" t="s">
        <v>89</v>
      </c>
    </row>
    <row r="86" spans="1:8" x14ac:dyDescent="0.25">
      <c r="A86" s="4">
        <v>85</v>
      </c>
      <c r="B86" s="4" t="s">
        <v>89</v>
      </c>
      <c r="C86" s="5">
        <v>0</v>
      </c>
      <c r="D86" s="6" t="s">
        <v>138</v>
      </c>
      <c r="E86" s="7">
        <v>0</v>
      </c>
      <c r="F86" s="8">
        <v>46069</v>
      </c>
      <c r="G86" s="8">
        <v>46069</v>
      </c>
      <c r="H86" s="6" t="s">
        <v>89</v>
      </c>
    </row>
    <row r="87" spans="1:8" ht="30" x14ac:dyDescent="0.25">
      <c r="A87" s="4">
        <v>86</v>
      </c>
      <c r="B87" s="4" t="s">
        <v>89</v>
      </c>
      <c r="C87" s="5">
        <v>0</v>
      </c>
      <c r="D87" s="6" t="s">
        <v>173</v>
      </c>
      <c r="E87" s="7">
        <v>180</v>
      </c>
      <c r="F87" s="8">
        <v>46298</v>
      </c>
      <c r="G87" s="8">
        <v>46477</v>
      </c>
      <c r="H87" s="6" t="s">
        <v>89</v>
      </c>
    </row>
    <row r="88" spans="1:8" x14ac:dyDescent="0.25">
      <c r="A88" s="4">
        <v>87</v>
      </c>
      <c r="B88" s="4" t="s">
        <v>89</v>
      </c>
      <c r="C88" s="5">
        <v>0</v>
      </c>
      <c r="D88" s="6" t="s">
        <v>175</v>
      </c>
      <c r="E88" s="7">
        <v>381</v>
      </c>
      <c r="F88" s="8">
        <v>46097</v>
      </c>
      <c r="G88" s="8">
        <v>46477</v>
      </c>
      <c r="H88" s="6" t="s">
        <v>89</v>
      </c>
    </row>
    <row r="89" spans="1:8" x14ac:dyDescent="0.25">
      <c r="A89" s="4">
        <v>88</v>
      </c>
      <c r="B89" s="4" t="s">
        <v>89</v>
      </c>
      <c r="C89" s="5">
        <v>0</v>
      </c>
      <c r="D89" s="6" t="s">
        <v>138</v>
      </c>
      <c r="E89" s="7">
        <v>0</v>
      </c>
      <c r="F89" s="8">
        <v>46097</v>
      </c>
      <c r="G89" s="8">
        <v>46097</v>
      </c>
      <c r="H89" s="6" t="s">
        <v>89</v>
      </c>
    </row>
    <row r="90" spans="1:8" ht="30" x14ac:dyDescent="0.25">
      <c r="A90" s="4">
        <v>89</v>
      </c>
      <c r="B90" s="4" t="s">
        <v>89</v>
      </c>
      <c r="C90" s="5">
        <v>0</v>
      </c>
      <c r="D90" s="6" t="s">
        <v>173</v>
      </c>
      <c r="E90" s="7">
        <v>60</v>
      </c>
      <c r="F90" s="8">
        <v>46418</v>
      </c>
      <c r="G90" s="8">
        <v>46477</v>
      </c>
      <c r="H90" s="6" t="s">
        <v>89</v>
      </c>
    </row>
    <row r="91" spans="1:8" x14ac:dyDescent="0.25">
      <c r="A91" s="4">
        <v>90</v>
      </c>
      <c r="B91" s="4" t="s">
        <v>89</v>
      </c>
      <c r="C91" s="5">
        <v>0</v>
      </c>
      <c r="D91" s="6" t="s">
        <v>176</v>
      </c>
      <c r="E91" s="7">
        <v>322</v>
      </c>
      <c r="F91" s="8">
        <v>46418</v>
      </c>
      <c r="G91" s="8">
        <v>46097</v>
      </c>
      <c r="H91" s="6" t="s">
        <v>89</v>
      </c>
    </row>
    <row r="92" spans="1:8" x14ac:dyDescent="0.25">
      <c r="A92" s="4">
        <v>91</v>
      </c>
      <c r="B92" s="4" t="s">
        <v>89</v>
      </c>
      <c r="C92" s="5">
        <v>0</v>
      </c>
      <c r="D92" s="6" t="s">
        <v>138</v>
      </c>
      <c r="E92" s="7">
        <v>0</v>
      </c>
      <c r="F92" s="8">
        <v>46097</v>
      </c>
      <c r="G92" s="8">
        <v>46097</v>
      </c>
      <c r="H92" s="6" t="s">
        <v>89</v>
      </c>
    </row>
    <row r="93" spans="1:8" ht="30" x14ac:dyDescent="0.25">
      <c r="A93" s="4">
        <v>92</v>
      </c>
      <c r="B93" s="4" t="s">
        <v>89</v>
      </c>
      <c r="C93" s="5">
        <v>0</v>
      </c>
      <c r="D93" s="6" t="s">
        <v>173</v>
      </c>
      <c r="E93" s="7">
        <v>120</v>
      </c>
      <c r="F93" s="8">
        <v>46299</v>
      </c>
      <c r="G93" s="8">
        <v>46418</v>
      </c>
      <c r="H93" s="6" t="s">
        <v>89</v>
      </c>
    </row>
    <row r="94" spans="1:8" x14ac:dyDescent="0.25">
      <c r="A94" s="4">
        <v>93</v>
      </c>
      <c r="B94" s="4" t="s">
        <v>89</v>
      </c>
      <c r="C94" s="5">
        <v>0</v>
      </c>
      <c r="D94" s="6" t="s">
        <v>177</v>
      </c>
      <c r="E94" s="7">
        <v>350</v>
      </c>
      <c r="F94" s="8">
        <v>46418</v>
      </c>
      <c r="G94" s="8">
        <v>46069</v>
      </c>
      <c r="H94" s="6" t="s">
        <v>89</v>
      </c>
    </row>
    <row r="95" spans="1:8" x14ac:dyDescent="0.25">
      <c r="A95" s="4">
        <v>94</v>
      </c>
      <c r="B95" s="4" t="s">
        <v>89</v>
      </c>
      <c r="C95" s="5">
        <v>0</v>
      </c>
      <c r="D95" s="6" t="s">
        <v>138</v>
      </c>
      <c r="E95" s="7">
        <v>0</v>
      </c>
      <c r="F95" s="8">
        <v>46069</v>
      </c>
      <c r="G95" s="8">
        <v>46069</v>
      </c>
      <c r="H95" s="6" t="s">
        <v>89</v>
      </c>
    </row>
    <row r="96" spans="1:8" ht="30" x14ac:dyDescent="0.25">
      <c r="A96" s="4">
        <v>95</v>
      </c>
      <c r="B96" s="4" t="s">
        <v>89</v>
      </c>
      <c r="C96" s="5">
        <v>0</v>
      </c>
      <c r="D96" s="6" t="s">
        <v>173</v>
      </c>
      <c r="E96" s="7">
        <v>180</v>
      </c>
      <c r="F96" s="8">
        <v>46418</v>
      </c>
      <c r="G96" s="8">
        <v>46239</v>
      </c>
      <c r="H96" s="6" t="s">
        <v>89</v>
      </c>
    </row>
    <row r="97" spans="1:8" x14ac:dyDescent="0.25">
      <c r="A97" s="4">
        <v>96</v>
      </c>
      <c r="B97" s="4" t="s">
        <v>89</v>
      </c>
      <c r="C97" s="5">
        <v>0</v>
      </c>
      <c r="D97" s="6" t="s">
        <v>178</v>
      </c>
      <c r="E97" s="7">
        <v>350</v>
      </c>
      <c r="F97" s="8">
        <v>46418</v>
      </c>
      <c r="G97" s="8">
        <v>46069</v>
      </c>
      <c r="H97" s="6" t="s">
        <v>89</v>
      </c>
    </row>
    <row r="98" spans="1:8" x14ac:dyDescent="0.25">
      <c r="A98" s="4">
        <v>97</v>
      </c>
      <c r="B98" s="4" t="s">
        <v>89</v>
      </c>
      <c r="C98" s="5">
        <v>0</v>
      </c>
      <c r="D98" s="6" t="s">
        <v>138</v>
      </c>
      <c r="E98" s="7">
        <v>0</v>
      </c>
      <c r="F98" s="8">
        <v>46069</v>
      </c>
      <c r="G98" s="8">
        <v>46069</v>
      </c>
      <c r="H98" s="6" t="s">
        <v>89</v>
      </c>
    </row>
    <row r="99" spans="1:8" ht="30" x14ac:dyDescent="0.25">
      <c r="A99" s="4">
        <v>98</v>
      </c>
      <c r="B99" s="4" t="s">
        <v>89</v>
      </c>
      <c r="C99" s="5">
        <v>0</v>
      </c>
      <c r="D99" s="6" t="s">
        <v>173</v>
      </c>
      <c r="E99" s="7">
        <v>180</v>
      </c>
      <c r="F99" s="8">
        <v>46418</v>
      </c>
      <c r="G99" s="8">
        <v>46239</v>
      </c>
      <c r="H99" s="6" t="s">
        <v>89</v>
      </c>
    </row>
    <row r="100" spans="1:8" x14ac:dyDescent="0.25">
      <c r="A100" s="4">
        <v>99</v>
      </c>
      <c r="B100" s="4" t="s">
        <v>89</v>
      </c>
      <c r="C100" s="5">
        <v>0</v>
      </c>
      <c r="D100" s="6" t="s">
        <v>179</v>
      </c>
      <c r="E100" s="7">
        <v>350</v>
      </c>
      <c r="F100" s="8">
        <v>46418</v>
      </c>
      <c r="G100" s="8">
        <v>46069</v>
      </c>
      <c r="H100" s="6" t="s">
        <v>89</v>
      </c>
    </row>
    <row r="101" spans="1:8" x14ac:dyDescent="0.25">
      <c r="A101" s="4">
        <v>100</v>
      </c>
      <c r="B101" s="4" t="s">
        <v>89</v>
      </c>
      <c r="C101" s="5">
        <v>0</v>
      </c>
      <c r="D101" s="6" t="s">
        <v>138</v>
      </c>
      <c r="E101" s="7">
        <v>0</v>
      </c>
      <c r="F101" s="8">
        <v>46069</v>
      </c>
      <c r="G101" s="8">
        <v>46069</v>
      </c>
      <c r="H101" s="6" t="s">
        <v>89</v>
      </c>
    </row>
    <row r="102" spans="1:8" ht="30" x14ac:dyDescent="0.25">
      <c r="A102" s="4">
        <v>101</v>
      </c>
      <c r="B102" s="4" t="s">
        <v>89</v>
      </c>
      <c r="C102" s="5">
        <v>0</v>
      </c>
      <c r="D102" s="6" t="s">
        <v>173</v>
      </c>
      <c r="E102" s="7">
        <v>210</v>
      </c>
      <c r="F102" s="8">
        <v>46418</v>
      </c>
      <c r="G102" s="8">
        <v>46209</v>
      </c>
      <c r="H102" s="6" t="s">
        <v>89</v>
      </c>
    </row>
    <row r="103" spans="1:8" ht="30" x14ac:dyDescent="0.25">
      <c r="A103" s="4">
        <v>102</v>
      </c>
      <c r="B103" s="4" t="s">
        <v>89</v>
      </c>
      <c r="C103" s="5">
        <v>0</v>
      </c>
      <c r="D103" s="6" t="s">
        <v>180</v>
      </c>
      <c r="E103" s="7">
        <v>183.44</v>
      </c>
      <c r="F103" s="8">
        <v>46235</v>
      </c>
      <c r="G103" s="8">
        <v>46418</v>
      </c>
      <c r="H103" s="6" t="s">
        <v>89</v>
      </c>
    </row>
    <row r="104" spans="1:8" x14ac:dyDescent="0.25">
      <c r="A104" s="4">
        <v>103</v>
      </c>
      <c r="B104" s="4" t="s">
        <v>89</v>
      </c>
      <c r="C104" s="5">
        <v>0</v>
      </c>
      <c r="D104" s="6" t="s">
        <v>138</v>
      </c>
      <c r="E104" s="7">
        <v>0</v>
      </c>
      <c r="F104" s="8">
        <v>46235</v>
      </c>
      <c r="G104" s="8">
        <v>46235</v>
      </c>
      <c r="H104" s="6" t="s">
        <v>89</v>
      </c>
    </row>
    <row r="105" spans="1:8" ht="30" x14ac:dyDescent="0.25">
      <c r="A105" s="4">
        <v>104</v>
      </c>
      <c r="B105" s="4" t="s">
        <v>89</v>
      </c>
      <c r="C105" s="5">
        <v>0</v>
      </c>
      <c r="D105" s="6" t="s">
        <v>173</v>
      </c>
      <c r="E105" s="7">
        <v>153</v>
      </c>
      <c r="F105" s="8">
        <v>46266</v>
      </c>
      <c r="G105" s="8">
        <v>46418</v>
      </c>
      <c r="H105" s="6" t="s">
        <v>89</v>
      </c>
    </row>
    <row r="106" spans="1:8" x14ac:dyDescent="0.25">
      <c r="A106" s="4">
        <v>105</v>
      </c>
      <c r="B106" s="4" t="s">
        <v>89</v>
      </c>
      <c r="C106" s="5">
        <v>0</v>
      </c>
      <c r="D106" s="6" t="s">
        <v>181</v>
      </c>
      <c r="E106" s="7">
        <v>242.44</v>
      </c>
      <c r="F106" s="8">
        <v>46446</v>
      </c>
      <c r="G106" s="8">
        <v>46204</v>
      </c>
      <c r="H106" s="6" t="s">
        <v>89</v>
      </c>
    </row>
    <row r="107" spans="1:8" x14ac:dyDescent="0.25">
      <c r="A107" s="4">
        <v>106</v>
      </c>
      <c r="B107" s="4" t="s">
        <v>89</v>
      </c>
      <c r="C107" s="5">
        <v>0</v>
      </c>
      <c r="D107" s="6" t="s">
        <v>138</v>
      </c>
      <c r="E107" s="7">
        <v>0</v>
      </c>
      <c r="F107" s="8">
        <v>46204</v>
      </c>
      <c r="G107" s="8">
        <v>46204</v>
      </c>
      <c r="H107" s="6" t="s">
        <v>89</v>
      </c>
    </row>
    <row r="108" spans="1:8" ht="30" x14ac:dyDescent="0.25">
      <c r="A108" s="4">
        <v>107</v>
      </c>
      <c r="B108" s="4" t="s">
        <v>89</v>
      </c>
      <c r="C108" s="5">
        <v>0</v>
      </c>
      <c r="D108" s="6" t="s">
        <v>173</v>
      </c>
      <c r="E108" s="7">
        <v>90</v>
      </c>
      <c r="F108" s="8">
        <v>46357</v>
      </c>
      <c r="G108" s="8">
        <v>46446</v>
      </c>
      <c r="H108" s="6" t="s">
        <v>89</v>
      </c>
    </row>
    <row r="109" spans="1:8" x14ac:dyDescent="0.25">
      <c r="A109" s="4">
        <v>108</v>
      </c>
      <c r="B109" s="4" t="s">
        <v>89</v>
      </c>
      <c r="C109" s="5">
        <v>0</v>
      </c>
      <c r="D109" s="6" t="s">
        <v>182</v>
      </c>
      <c r="E109" s="7">
        <v>180</v>
      </c>
      <c r="F109" s="8">
        <v>46357</v>
      </c>
      <c r="G109" s="8">
        <v>46536</v>
      </c>
      <c r="H109" s="6" t="s">
        <v>89</v>
      </c>
    </row>
    <row r="110" spans="1:8" x14ac:dyDescent="0.25">
      <c r="A110" s="4">
        <v>109</v>
      </c>
      <c r="B110" s="4" t="s">
        <v>89</v>
      </c>
      <c r="C110" s="5">
        <v>0</v>
      </c>
      <c r="D110" s="6" t="s">
        <v>183</v>
      </c>
      <c r="E110" s="7">
        <v>180</v>
      </c>
      <c r="F110" s="8">
        <v>46357</v>
      </c>
      <c r="G110" s="8">
        <v>46536</v>
      </c>
      <c r="H110" s="6" t="s">
        <v>89</v>
      </c>
    </row>
    <row r="111" spans="1:8" x14ac:dyDescent="0.25">
      <c r="A111" s="4">
        <v>110</v>
      </c>
      <c r="B111" s="4" t="s">
        <v>89</v>
      </c>
      <c r="C111" s="5">
        <v>0</v>
      </c>
      <c r="D111" s="6" t="s">
        <v>184</v>
      </c>
      <c r="E111" s="7">
        <v>90</v>
      </c>
      <c r="F111" s="8">
        <v>46536</v>
      </c>
      <c r="G111" s="8">
        <v>46447</v>
      </c>
      <c r="H111" s="6" t="s">
        <v>89</v>
      </c>
    </row>
    <row r="112" spans="1:8" x14ac:dyDescent="0.25">
      <c r="A112" s="4">
        <v>111</v>
      </c>
      <c r="B112" s="4" t="s">
        <v>89</v>
      </c>
      <c r="C112" s="5">
        <v>0</v>
      </c>
      <c r="D112" s="6" t="s">
        <v>185</v>
      </c>
      <c r="E112" s="7">
        <v>60</v>
      </c>
      <c r="F112" s="8">
        <v>46536</v>
      </c>
      <c r="G112" s="8">
        <v>46477</v>
      </c>
      <c r="H112" s="6" t="s">
        <v>89</v>
      </c>
    </row>
    <row r="113" spans="1:8" x14ac:dyDescent="0.25">
      <c r="A113" s="4">
        <v>112</v>
      </c>
      <c r="B113" s="4" t="s">
        <v>89</v>
      </c>
      <c r="C113" s="5">
        <v>0</v>
      </c>
      <c r="D113" s="6" t="s">
        <v>186</v>
      </c>
      <c r="E113" s="7">
        <v>60</v>
      </c>
      <c r="F113" s="8">
        <v>46536</v>
      </c>
      <c r="G113" s="8">
        <v>46477</v>
      </c>
      <c r="H113" s="6" t="s">
        <v>89</v>
      </c>
    </row>
    <row r="114" spans="1:8" x14ac:dyDescent="0.25">
      <c r="A114" s="4">
        <v>113</v>
      </c>
      <c r="B114" s="4" t="s">
        <v>89</v>
      </c>
      <c r="C114" s="5">
        <v>0</v>
      </c>
      <c r="D114" s="6" t="s">
        <v>187</v>
      </c>
      <c r="E114" s="7">
        <v>60</v>
      </c>
      <c r="F114" s="8">
        <v>46536</v>
      </c>
      <c r="G114" s="8">
        <v>46477</v>
      </c>
      <c r="H114" s="6" t="s">
        <v>89</v>
      </c>
    </row>
    <row r="115" spans="1:8" x14ac:dyDescent="0.25">
      <c r="A115" s="4">
        <v>114</v>
      </c>
      <c r="B115" s="4" t="s">
        <v>89</v>
      </c>
      <c r="C115" s="5">
        <v>0</v>
      </c>
      <c r="D115" s="6" t="s">
        <v>188</v>
      </c>
      <c r="E115" s="7">
        <v>90</v>
      </c>
      <c r="F115" s="8">
        <v>46536</v>
      </c>
      <c r="G115" s="8">
        <v>46447</v>
      </c>
      <c r="H115" s="6" t="s">
        <v>89</v>
      </c>
    </row>
    <row r="116" spans="1:8" x14ac:dyDescent="0.25">
      <c r="A116" s="4">
        <v>115</v>
      </c>
      <c r="B116" s="4" t="s">
        <v>89</v>
      </c>
      <c r="C116" s="5">
        <v>0</v>
      </c>
      <c r="D116" s="6" t="s">
        <v>189</v>
      </c>
      <c r="E116" s="7">
        <v>528.5</v>
      </c>
      <c r="F116" s="8">
        <v>46178</v>
      </c>
      <c r="G116" s="8">
        <v>46706</v>
      </c>
      <c r="H116" s="6" t="s">
        <v>89</v>
      </c>
    </row>
    <row r="117" spans="1:8" ht="30" x14ac:dyDescent="0.25">
      <c r="A117" s="4">
        <v>116</v>
      </c>
      <c r="B117" s="4" t="s">
        <v>89</v>
      </c>
      <c r="C117" s="5">
        <v>0</v>
      </c>
      <c r="D117" s="6" t="s">
        <v>190</v>
      </c>
      <c r="E117" s="7">
        <v>15</v>
      </c>
      <c r="F117" s="8">
        <v>46178</v>
      </c>
      <c r="G117" s="8">
        <v>46193</v>
      </c>
      <c r="H117" s="6" t="s">
        <v>89</v>
      </c>
    </row>
    <row r="118" spans="1:8" x14ac:dyDescent="0.25">
      <c r="A118" s="4">
        <v>117</v>
      </c>
      <c r="B118" s="4" t="s">
        <v>89</v>
      </c>
      <c r="C118" s="5">
        <v>0</v>
      </c>
      <c r="D118" s="6" t="s">
        <v>191</v>
      </c>
      <c r="E118" s="7">
        <v>305</v>
      </c>
      <c r="F118" s="8">
        <v>46329</v>
      </c>
      <c r="G118" s="8">
        <v>46634</v>
      </c>
      <c r="H118" s="6" t="s">
        <v>89</v>
      </c>
    </row>
    <row r="119" spans="1:8" ht="30" x14ac:dyDescent="0.25">
      <c r="A119" s="4">
        <v>118</v>
      </c>
      <c r="B119" s="4" t="s">
        <v>89</v>
      </c>
      <c r="C119" s="5">
        <v>0</v>
      </c>
      <c r="D119" s="6" t="s">
        <v>192</v>
      </c>
      <c r="E119" s="7">
        <v>14</v>
      </c>
      <c r="F119" s="8">
        <v>46329</v>
      </c>
      <c r="G119" s="8">
        <v>46343</v>
      </c>
      <c r="H119" s="6" t="s">
        <v>89</v>
      </c>
    </row>
    <row r="120" spans="1:8" ht="30" x14ac:dyDescent="0.25">
      <c r="A120" s="4">
        <v>119</v>
      </c>
      <c r="B120" s="4" t="s">
        <v>89</v>
      </c>
      <c r="C120" s="5">
        <v>0</v>
      </c>
      <c r="D120" s="6" t="s">
        <v>193</v>
      </c>
      <c r="E120" s="7">
        <v>14</v>
      </c>
      <c r="F120" s="8">
        <v>46343</v>
      </c>
      <c r="G120" s="8">
        <v>46357</v>
      </c>
      <c r="H120" s="6" t="s">
        <v>89</v>
      </c>
    </row>
    <row r="121" spans="1:8" ht="30" x14ac:dyDescent="0.25">
      <c r="A121" s="4">
        <v>120</v>
      </c>
      <c r="B121" s="4" t="s">
        <v>89</v>
      </c>
      <c r="C121" s="5">
        <v>0</v>
      </c>
      <c r="D121" s="6" t="s">
        <v>194</v>
      </c>
      <c r="E121" s="7">
        <v>14</v>
      </c>
      <c r="F121" s="8">
        <v>46357</v>
      </c>
      <c r="G121" s="8">
        <v>46371</v>
      </c>
      <c r="H121" s="6" t="s">
        <v>89</v>
      </c>
    </row>
    <row r="122" spans="1:8" ht="30" x14ac:dyDescent="0.25">
      <c r="A122" s="4">
        <v>121</v>
      </c>
      <c r="B122" s="4" t="s">
        <v>89</v>
      </c>
      <c r="C122" s="5">
        <v>0</v>
      </c>
      <c r="D122" s="6" t="s">
        <v>195</v>
      </c>
      <c r="E122" s="7">
        <v>15</v>
      </c>
      <c r="F122" s="8">
        <v>46371</v>
      </c>
      <c r="G122" s="8">
        <v>46386</v>
      </c>
      <c r="H122" s="6" t="s">
        <v>89</v>
      </c>
    </row>
    <row r="123" spans="1:8" ht="30" x14ac:dyDescent="0.25">
      <c r="A123" s="4">
        <v>122</v>
      </c>
      <c r="B123" s="4" t="s">
        <v>89</v>
      </c>
      <c r="C123" s="5">
        <v>0</v>
      </c>
      <c r="D123" s="6" t="s">
        <v>196</v>
      </c>
      <c r="E123" s="7">
        <v>21</v>
      </c>
      <c r="F123" s="8">
        <v>46386</v>
      </c>
      <c r="G123" s="8">
        <v>46407</v>
      </c>
      <c r="H123" s="6" t="s">
        <v>89</v>
      </c>
    </row>
    <row r="124" spans="1:8" ht="30" x14ac:dyDescent="0.25">
      <c r="A124" s="4">
        <v>123</v>
      </c>
      <c r="B124" s="4" t="s">
        <v>89</v>
      </c>
      <c r="C124" s="5">
        <v>0</v>
      </c>
      <c r="D124" s="6" t="s">
        <v>196</v>
      </c>
      <c r="E124" s="7">
        <v>21</v>
      </c>
      <c r="F124" s="8">
        <v>46407</v>
      </c>
      <c r="G124" s="8">
        <v>46428</v>
      </c>
      <c r="H124" s="6" t="s">
        <v>89</v>
      </c>
    </row>
    <row r="125" spans="1:8" ht="30" x14ac:dyDescent="0.25">
      <c r="A125" s="4">
        <v>124</v>
      </c>
      <c r="B125" s="4" t="s">
        <v>89</v>
      </c>
      <c r="C125" s="5">
        <v>0</v>
      </c>
      <c r="D125" s="6" t="s">
        <v>196</v>
      </c>
      <c r="E125" s="7">
        <v>21</v>
      </c>
      <c r="F125" s="8">
        <v>46428</v>
      </c>
      <c r="G125" s="8">
        <v>46449</v>
      </c>
      <c r="H125" s="6" t="s">
        <v>89</v>
      </c>
    </row>
    <row r="126" spans="1:8" ht="30" x14ac:dyDescent="0.25">
      <c r="A126" s="4">
        <v>125</v>
      </c>
      <c r="B126" s="4" t="s">
        <v>89</v>
      </c>
      <c r="C126" s="5">
        <v>0</v>
      </c>
      <c r="D126" s="6" t="s">
        <v>197</v>
      </c>
      <c r="E126" s="7">
        <v>15</v>
      </c>
      <c r="F126" s="8">
        <v>46464</v>
      </c>
      <c r="G126" s="8">
        <v>46449</v>
      </c>
      <c r="H126" s="6" t="s">
        <v>89</v>
      </c>
    </row>
    <row r="127" spans="1:8" ht="30" x14ac:dyDescent="0.25">
      <c r="A127" s="4">
        <v>126</v>
      </c>
      <c r="B127" s="4" t="s">
        <v>89</v>
      </c>
      <c r="C127" s="5">
        <v>0</v>
      </c>
      <c r="D127" s="6" t="s">
        <v>198</v>
      </c>
      <c r="E127" s="7">
        <v>35</v>
      </c>
      <c r="F127" s="8">
        <v>46464</v>
      </c>
      <c r="G127" s="8">
        <v>46499</v>
      </c>
      <c r="H127" s="6" t="s">
        <v>89</v>
      </c>
    </row>
    <row r="128" spans="1:8" ht="60" x14ac:dyDescent="0.25">
      <c r="A128" s="4">
        <v>127</v>
      </c>
      <c r="B128" s="4" t="s">
        <v>89</v>
      </c>
      <c r="C128" s="5">
        <v>0</v>
      </c>
      <c r="D128" s="6" t="s">
        <v>199</v>
      </c>
      <c r="E128" s="7">
        <v>35</v>
      </c>
      <c r="F128" s="8">
        <v>46499</v>
      </c>
      <c r="G128" s="8">
        <v>46534</v>
      </c>
      <c r="H128" s="6" t="s">
        <v>200</v>
      </c>
    </row>
    <row r="129" spans="1:8" ht="60" x14ac:dyDescent="0.25">
      <c r="A129" s="4">
        <v>128</v>
      </c>
      <c r="B129" s="4" t="s">
        <v>89</v>
      </c>
      <c r="C129" s="5">
        <v>0</v>
      </c>
      <c r="D129" s="6" t="s">
        <v>201</v>
      </c>
      <c r="E129" s="7">
        <v>35</v>
      </c>
      <c r="F129" s="8">
        <v>46534</v>
      </c>
      <c r="G129" s="8">
        <v>46569</v>
      </c>
      <c r="H129" s="6" t="s">
        <v>202</v>
      </c>
    </row>
    <row r="130" spans="1:8" ht="30" x14ac:dyDescent="0.25">
      <c r="A130" s="4">
        <v>129</v>
      </c>
      <c r="B130" s="4" t="s">
        <v>89</v>
      </c>
      <c r="C130" s="5">
        <v>0</v>
      </c>
      <c r="D130" s="6" t="s">
        <v>203</v>
      </c>
      <c r="E130" s="7">
        <v>30</v>
      </c>
      <c r="F130" s="8">
        <v>46499</v>
      </c>
      <c r="G130" s="8">
        <v>46529</v>
      </c>
      <c r="H130" s="6" t="s">
        <v>204</v>
      </c>
    </row>
    <row r="131" spans="1:8" ht="30" x14ac:dyDescent="0.25">
      <c r="A131" s="4">
        <v>130</v>
      </c>
      <c r="B131" s="4" t="s">
        <v>89</v>
      </c>
      <c r="C131" s="5">
        <v>0</v>
      </c>
      <c r="D131" s="6" t="s">
        <v>205</v>
      </c>
      <c r="E131" s="7">
        <v>30</v>
      </c>
      <c r="F131" s="8">
        <v>46534</v>
      </c>
      <c r="G131" s="8">
        <v>46564</v>
      </c>
      <c r="H131" s="6" t="s">
        <v>89</v>
      </c>
    </row>
    <row r="132" spans="1:8" ht="30" x14ac:dyDescent="0.25">
      <c r="A132" s="4">
        <v>131</v>
      </c>
      <c r="B132" s="4" t="s">
        <v>89</v>
      </c>
      <c r="C132" s="5">
        <v>0</v>
      </c>
      <c r="D132" s="6" t="s">
        <v>206</v>
      </c>
      <c r="E132" s="7">
        <v>30</v>
      </c>
      <c r="F132" s="8">
        <v>46569</v>
      </c>
      <c r="G132" s="8">
        <v>46599</v>
      </c>
      <c r="H132" s="6" t="s">
        <v>89</v>
      </c>
    </row>
    <row r="133" spans="1:8" ht="30" x14ac:dyDescent="0.25">
      <c r="A133" s="4">
        <v>132</v>
      </c>
      <c r="B133" s="4" t="s">
        <v>89</v>
      </c>
      <c r="C133" s="5">
        <v>0</v>
      </c>
      <c r="D133" s="6" t="s">
        <v>207</v>
      </c>
      <c r="E133" s="7">
        <v>14</v>
      </c>
      <c r="F133" s="8">
        <v>46599</v>
      </c>
      <c r="G133" s="8">
        <v>46613</v>
      </c>
      <c r="H133" s="6" t="s">
        <v>89</v>
      </c>
    </row>
    <row r="134" spans="1:8" ht="30" x14ac:dyDescent="0.25">
      <c r="A134" s="4">
        <v>133</v>
      </c>
      <c r="B134" s="4" t="s">
        <v>89</v>
      </c>
      <c r="C134" s="5">
        <v>0</v>
      </c>
      <c r="D134" s="6" t="s">
        <v>208</v>
      </c>
      <c r="E134" s="7">
        <v>7</v>
      </c>
      <c r="F134" s="8">
        <v>46613</v>
      </c>
      <c r="G134" s="8">
        <v>46620</v>
      </c>
      <c r="H134" s="6" t="s">
        <v>89</v>
      </c>
    </row>
    <row r="135" spans="1:8" ht="30" x14ac:dyDescent="0.25">
      <c r="A135" s="4">
        <v>134</v>
      </c>
      <c r="B135" s="4" t="s">
        <v>89</v>
      </c>
      <c r="C135" s="5">
        <v>0</v>
      </c>
      <c r="D135" s="6" t="s">
        <v>209</v>
      </c>
      <c r="E135" s="7">
        <v>7</v>
      </c>
      <c r="F135" s="8">
        <v>46620</v>
      </c>
      <c r="G135" s="8">
        <v>46627</v>
      </c>
      <c r="H135" s="6" t="s">
        <v>89</v>
      </c>
    </row>
    <row r="136" spans="1:8" ht="30" x14ac:dyDescent="0.25">
      <c r="A136" s="4">
        <v>135</v>
      </c>
      <c r="B136" s="4" t="s">
        <v>89</v>
      </c>
      <c r="C136" s="5">
        <v>0</v>
      </c>
      <c r="D136" s="6" t="s">
        <v>210</v>
      </c>
      <c r="E136" s="7">
        <v>7</v>
      </c>
      <c r="F136" s="8">
        <v>46627</v>
      </c>
      <c r="G136" s="8">
        <v>46634</v>
      </c>
      <c r="H136" s="6" t="s">
        <v>89</v>
      </c>
    </row>
    <row r="137" spans="1:8" x14ac:dyDescent="0.25">
      <c r="A137" s="4">
        <v>136</v>
      </c>
      <c r="B137" s="4" t="s">
        <v>89</v>
      </c>
      <c r="C137" s="5">
        <v>0</v>
      </c>
      <c r="D137" s="6" t="s">
        <v>211</v>
      </c>
      <c r="E137" s="7">
        <v>112</v>
      </c>
      <c r="F137" s="8">
        <v>46494</v>
      </c>
      <c r="G137" s="8">
        <v>46606</v>
      </c>
      <c r="H137" s="6" t="s">
        <v>89</v>
      </c>
    </row>
    <row r="138" spans="1:8" x14ac:dyDescent="0.25">
      <c r="A138" s="4">
        <v>137</v>
      </c>
      <c r="B138" s="4" t="s">
        <v>89</v>
      </c>
      <c r="C138" s="5">
        <v>0</v>
      </c>
      <c r="D138" s="6" t="s">
        <v>212</v>
      </c>
      <c r="E138" s="7">
        <v>112</v>
      </c>
      <c r="F138" s="8">
        <v>46494</v>
      </c>
      <c r="G138" s="8">
        <v>46606</v>
      </c>
      <c r="H138" s="6" t="s">
        <v>89</v>
      </c>
    </row>
    <row r="139" spans="1:8" x14ac:dyDescent="0.25">
      <c r="A139" s="4">
        <v>138</v>
      </c>
      <c r="B139" s="4" t="s">
        <v>89</v>
      </c>
      <c r="C139" s="5">
        <v>0</v>
      </c>
      <c r="D139" s="6" t="s">
        <v>213</v>
      </c>
      <c r="E139" s="7">
        <v>105</v>
      </c>
      <c r="F139" s="8">
        <v>46564</v>
      </c>
      <c r="G139" s="8">
        <v>46669</v>
      </c>
      <c r="H139" s="6" t="s">
        <v>89</v>
      </c>
    </row>
    <row r="140" spans="1:8" x14ac:dyDescent="0.25">
      <c r="A140" s="4">
        <v>139</v>
      </c>
      <c r="B140" s="4" t="s">
        <v>89</v>
      </c>
      <c r="C140" s="5">
        <v>0</v>
      </c>
      <c r="D140" s="6" t="s">
        <v>214</v>
      </c>
      <c r="E140" s="7">
        <v>21</v>
      </c>
      <c r="F140" s="8">
        <v>46564</v>
      </c>
      <c r="G140" s="8">
        <v>46585</v>
      </c>
      <c r="H140" s="6" t="s">
        <v>89</v>
      </c>
    </row>
    <row r="141" spans="1:8" x14ac:dyDescent="0.25">
      <c r="A141" s="4">
        <v>140</v>
      </c>
      <c r="B141" s="4" t="s">
        <v>89</v>
      </c>
      <c r="C141" s="5">
        <v>0</v>
      </c>
      <c r="D141" s="6" t="s">
        <v>215</v>
      </c>
      <c r="E141" s="7">
        <v>21</v>
      </c>
      <c r="F141" s="8">
        <v>46585</v>
      </c>
      <c r="G141" s="8">
        <v>46606</v>
      </c>
      <c r="H141" s="6" t="s">
        <v>89</v>
      </c>
    </row>
    <row r="142" spans="1:8" x14ac:dyDescent="0.25">
      <c r="A142" s="4">
        <v>141</v>
      </c>
      <c r="B142" s="4" t="s">
        <v>89</v>
      </c>
      <c r="C142" s="5">
        <v>0</v>
      </c>
      <c r="D142" s="6" t="s">
        <v>216</v>
      </c>
      <c r="E142" s="7">
        <v>14</v>
      </c>
      <c r="F142" s="8">
        <v>46606</v>
      </c>
      <c r="G142" s="8">
        <v>46620</v>
      </c>
      <c r="H142" s="6" t="s">
        <v>89</v>
      </c>
    </row>
    <row r="143" spans="1:8" x14ac:dyDescent="0.25">
      <c r="A143" s="4">
        <v>142</v>
      </c>
      <c r="B143" s="4" t="s">
        <v>89</v>
      </c>
      <c r="C143" s="5">
        <v>0</v>
      </c>
      <c r="D143" s="6" t="s">
        <v>217</v>
      </c>
      <c r="E143" s="7">
        <v>14</v>
      </c>
      <c r="F143" s="8">
        <v>46606</v>
      </c>
      <c r="G143" s="8">
        <v>46620</v>
      </c>
      <c r="H143" s="6" t="s">
        <v>89</v>
      </c>
    </row>
    <row r="144" spans="1:8" ht="30" x14ac:dyDescent="0.25">
      <c r="A144" s="4">
        <v>143</v>
      </c>
      <c r="B144" s="4" t="s">
        <v>89</v>
      </c>
      <c r="C144" s="5">
        <v>0</v>
      </c>
      <c r="D144" s="6" t="s">
        <v>218</v>
      </c>
      <c r="E144" s="7">
        <v>21</v>
      </c>
      <c r="F144" s="8">
        <v>46606</v>
      </c>
      <c r="G144" s="8">
        <v>46627</v>
      </c>
      <c r="H144" s="6" t="s">
        <v>89</v>
      </c>
    </row>
    <row r="145" spans="1:8" ht="30" x14ac:dyDescent="0.25">
      <c r="A145" s="4">
        <v>144</v>
      </c>
      <c r="B145" s="4" t="s">
        <v>89</v>
      </c>
      <c r="C145" s="5">
        <v>0</v>
      </c>
      <c r="D145" s="6" t="s">
        <v>219</v>
      </c>
      <c r="E145" s="7">
        <v>21</v>
      </c>
      <c r="F145" s="8">
        <v>46627</v>
      </c>
      <c r="G145" s="8">
        <v>46648</v>
      </c>
      <c r="H145" s="6" t="s">
        <v>89</v>
      </c>
    </row>
    <row r="146" spans="1:8" ht="30" x14ac:dyDescent="0.25">
      <c r="A146" s="4">
        <v>145</v>
      </c>
      <c r="B146" s="4" t="s">
        <v>89</v>
      </c>
      <c r="C146" s="5">
        <v>0</v>
      </c>
      <c r="D146" s="6" t="s">
        <v>220</v>
      </c>
      <c r="E146" s="7">
        <v>21</v>
      </c>
      <c r="F146" s="8">
        <v>46648</v>
      </c>
      <c r="G146" s="8">
        <v>46669</v>
      </c>
      <c r="H146" s="6" t="s">
        <v>89</v>
      </c>
    </row>
    <row r="147" spans="1:8" x14ac:dyDescent="0.25">
      <c r="A147" s="4">
        <v>146</v>
      </c>
      <c r="B147" s="4" t="s">
        <v>89</v>
      </c>
      <c r="C147" s="5">
        <v>0</v>
      </c>
      <c r="D147" s="6" t="s">
        <v>221</v>
      </c>
      <c r="E147" s="7">
        <v>14</v>
      </c>
      <c r="F147" s="8">
        <v>46620</v>
      </c>
      <c r="G147" s="8">
        <v>46634</v>
      </c>
      <c r="H147" s="6" t="s">
        <v>89</v>
      </c>
    </row>
    <row r="148" spans="1:8" x14ac:dyDescent="0.25">
      <c r="A148" s="4">
        <v>147</v>
      </c>
      <c r="B148" s="4" t="s">
        <v>89</v>
      </c>
      <c r="C148" s="5">
        <v>0</v>
      </c>
      <c r="D148" s="6" t="s">
        <v>222</v>
      </c>
      <c r="E148" s="7">
        <v>14</v>
      </c>
      <c r="F148" s="8">
        <v>46620</v>
      </c>
      <c r="G148" s="8">
        <v>46634</v>
      </c>
      <c r="H148" s="6" t="s">
        <v>89</v>
      </c>
    </row>
    <row r="149" spans="1:8" x14ac:dyDescent="0.25">
      <c r="A149" s="4">
        <v>148</v>
      </c>
      <c r="B149" s="4" t="s">
        <v>89</v>
      </c>
      <c r="C149" s="5">
        <v>0</v>
      </c>
      <c r="D149" s="6" t="s">
        <v>223</v>
      </c>
      <c r="E149" s="7">
        <v>72</v>
      </c>
      <c r="F149" s="8">
        <v>46634</v>
      </c>
      <c r="G149" s="8">
        <v>46706</v>
      </c>
      <c r="H149" s="6" t="s">
        <v>89</v>
      </c>
    </row>
    <row r="150" spans="1:8" x14ac:dyDescent="0.25">
      <c r="A150" s="4">
        <v>149</v>
      </c>
      <c r="B150" s="4" t="s">
        <v>89</v>
      </c>
      <c r="C150" s="5">
        <v>0</v>
      </c>
      <c r="D150" s="6" t="s">
        <v>224</v>
      </c>
      <c r="E150" s="7">
        <v>0</v>
      </c>
      <c r="F150" s="8">
        <v>46634</v>
      </c>
      <c r="G150" s="8">
        <v>46634</v>
      </c>
      <c r="H150" s="6" t="s">
        <v>225</v>
      </c>
    </row>
    <row r="151" spans="1:8" x14ac:dyDescent="0.25">
      <c r="A151" s="4">
        <v>150</v>
      </c>
      <c r="B151" s="4" t="s">
        <v>89</v>
      </c>
      <c r="C151" s="5">
        <v>0</v>
      </c>
      <c r="D151" s="6" t="s">
        <v>226</v>
      </c>
      <c r="E151" s="7">
        <v>0</v>
      </c>
      <c r="F151" s="8">
        <v>46634</v>
      </c>
      <c r="G151" s="8">
        <v>46634</v>
      </c>
      <c r="H151" s="6" t="s">
        <v>225</v>
      </c>
    </row>
    <row r="152" spans="1:8" x14ac:dyDescent="0.25">
      <c r="A152" s="4">
        <v>151</v>
      </c>
      <c r="B152" s="4" t="s">
        <v>89</v>
      </c>
      <c r="C152" s="5">
        <v>0</v>
      </c>
      <c r="D152" s="6" t="s">
        <v>227</v>
      </c>
      <c r="E152" s="7">
        <v>0</v>
      </c>
      <c r="F152" s="8">
        <v>46634</v>
      </c>
      <c r="G152" s="8">
        <v>46634</v>
      </c>
      <c r="H152" s="6" t="s">
        <v>225</v>
      </c>
    </row>
    <row r="153" spans="1:8" x14ac:dyDescent="0.25">
      <c r="A153" s="4">
        <v>152</v>
      </c>
      <c r="B153" s="4" t="s">
        <v>89</v>
      </c>
      <c r="C153" s="5">
        <v>0</v>
      </c>
      <c r="D153" s="6" t="s">
        <v>228</v>
      </c>
      <c r="E153" s="7">
        <v>0</v>
      </c>
      <c r="F153" s="8">
        <v>46634</v>
      </c>
      <c r="G153" s="8">
        <v>46634</v>
      </c>
      <c r="H153" s="6" t="s">
        <v>225</v>
      </c>
    </row>
    <row r="154" spans="1:8" x14ac:dyDescent="0.25">
      <c r="A154" s="4">
        <v>153</v>
      </c>
      <c r="B154" s="4" t="s">
        <v>89</v>
      </c>
      <c r="C154" s="5">
        <v>0</v>
      </c>
      <c r="D154" s="6" t="s">
        <v>229</v>
      </c>
      <c r="E154" s="7">
        <v>14</v>
      </c>
      <c r="F154" s="8">
        <v>46634</v>
      </c>
      <c r="G154" s="8">
        <v>46648</v>
      </c>
      <c r="H154" s="6" t="s">
        <v>89</v>
      </c>
    </row>
    <row r="155" spans="1:8" ht="30" x14ac:dyDescent="0.25">
      <c r="A155" s="4">
        <v>154</v>
      </c>
      <c r="B155" s="4" t="s">
        <v>89</v>
      </c>
      <c r="C155" s="5">
        <v>0</v>
      </c>
      <c r="D155" s="6" t="s">
        <v>230</v>
      </c>
      <c r="E155" s="7">
        <v>21</v>
      </c>
      <c r="F155" s="8">
        <v>46648</v>
      </c>
      <c r="G155" s="8">
        <v>46669</v>
      </c>
      <c r="H155" s="6" t="s">
        <v>89</v>
      </c>
    </row>
    <row r="156" spans="1:8" ht="30" x14ac:dyDescent="0.25">
      <c r="A156" s="4">
        <v>155</v>
      </c>
      <c r="B156" s="4" t="s">
        <v>89</v>
      </c>
      <c r="C156" s="5">
        <v>0</v>
      </c>
      <c r="D156" s="6" t="s">
        <v>231</v>
      </c>
      <c r="E156" s="7">
        <v>14</v>
      </c>
      <c r="F156" s="8">
        <v>46669</v>
      </c>
      <c r="G156" s="8">
        <v>46683</v>
      </c>
      <c r="H156" s="6" t="s">
        <v>89</v>
      </c>
    </row>
    <row r="157" spans="1:8" x14ac:dyDescent="0.25">
      <c r="A157" s="4">
        <v>156</v>
      </c>
      <c r="B157" s="4" t="s">
        <v>89</v>
      </c>
      <c r="C157" s="5">
        <v>0</v>
      </c>
      <c r="D157" s="6" t="s">
        <v>232</v>
      </c>
      <c r="E157" s="7">
        <v>14</v>
      </c>
      <c r="F157" s="8">
        <v>46634</v>
      </c>
      <c r="G157" s="8">
        <v>46648</v>
      </c>
      <c r="H157" s="6" t="s">
        <v>89</v>
      </c>
    </row>
    <row r="158" spans="1:8" x14ac:dyDescent="0.25">
      <c r="A158" s="4">
        <v>157</v>
      </c>
      <c r="B158" s="4" t="s">
        <v>89</v>
      </c>
      <c r="C158" s="5">
        <v>0</v>
      </c>
      <c r="D158" s="6" t="s">
        <v>233</v>
      </c>
      <c r="E158" s="7">
        <v>14</v>
      </c>
      <c r="F158" s="8">
        <v>46648</v>
      </c>
      <c r="G158" s="8">
        <v>46662</v>
      </c>
      <c r="H158" s="6" t="s">
        <v>89</v>
      </c>
    </row>
    <row r="159" spans="1:8" x14ac:dyDescent="0.25">
      <c r="A159" s="4">
        <v>158</v>
      </c>
      <c r="B159" s="4" t="s">
        <v>89</v>
      </c>
      <c r="C159" s="5">
        <v>0</v>
      </c>
      <c r="D159" s="6" t="s">
        <v>234</v>
      </c>
      <c r="E159" s="7">
        <v>14</v>
      </c>
      <c r="F159" s="8">
        <v>46634</v>
      </c>
      <c r="G159" s="8">
        <v>46648</v>
      </c>
      <c r="H159" s="6" t="s">
        <v>89</v>
      </c>
    </row>
    <row r="160" spans="1:8" x14ac:dyDescent="0.25">
      <c r="A160" s="4">
        <v>159</v>
      </c>
      <c r="B160" s="4" t="s">
        <v>89</v>
      </c>
      <c r="C160" s="5">
        <v>0</v>
      </c>
      <c r="D160" s="6" t="s">
        <v>235</v>
      </c>
      <c r="E160" s="7">
        <v>14</v>
      </c>
      <c r="F160" s="8">
        <v>46648</v>
      </c>
      <c r="G160" s="8">
        <v>46662</v>
      </c>
      <c r="H160" s="6" t="s">
        <v>89</v>
      </c>
    </row>
    <row r="161" spans="1:8" ht="30" x14ac:dyDescent="0.25">
      <c r="A161" s="4">
        <v>160</v>
      </c>
      <c r="B161" s="4" t="s">
        <v>89</v>
      </c>
      <c r="C161" s="5">
        <v>0</v>
      </c>
      <c r="D161" s="6" t="s">
        <v>236</v>
      </c>
      <c r="E161" s="7">
        <v>1</v>
      </c>
      <c r="F161" s="8">
        <v>46683</v>
      </c>
      <c r="G161" s="8">
        <v>46684</v>
      </c>
      <c r="H161" s="6" t="s">
        <v>89</v>
      </c>
    </row>
    <row r="162" spans="1:8" ht="30" x14ac:dyDescent="0.25">
      <c r="A162" s="4">
        <v>161</v>
      </c>
      <c r="B162" s="4" t="s">
        <v>89</v>
      </c>
      <c r="C162" s="5">
        <v>0</v>
      </c>
      <c r="D162" s="6" t="s">
        <v>237</v>
      </c>
      <c r="E162" s="7">
        <v>0</v>
      </c>
      <c r="F162" s="8">
        <v>46705</v>
      </c>
      <c r="G162" s="8">
        <v>46705</v>
      </c>
      <c r="H162" s="6" t="s">
        <v>238</v>
      </c>
    </row>
    <row r="163" spans="1:8" x14ac:dyDescent="0.25">
      <c r="A163" s="4">
        <v>162</v>
      </c>
      <c r="B163" s="4" t="s">
        <v>89</v>
      </c>
      <c r="C163" s="5">
        <v>0</v>
      </c>
      <c r="D163" s="6" t="s">
        <v>239</v>
      </c>
      <c r="E163" s="7">
        <v>21</v>
      </c>
      <c r="F163" s="8">
        <v>46684</v>
      </c>
      <c r="G163" s="8">
        <v>46705</v>
      </c>
      <c r="H163" s="6" t="s">
        <v>89</v>
      </c>
    </row>
    <row r="164" spans="1:8" x14ac:dyDescent="0.25">
      <c r="A164" s="4">
        <v>163</v>
      </c>
      <c r="B164" s="4" t="s">
        <v>89</v>
      </c>
      <c r="C164" s="5">
        <v>0</v>
      </c>
      <c r="D164" s="6" t="s">
        <v>240</v>
      </c>
      <c r="E164" s="7">
        <v>0</v>
      </c>
      <c r="F164" s="8">
        <v>46705</v>
      </c>
      <c r="G164" s="8">
        <v>46705</v>
      </c>
      <c r="H164" s="6" t="s">
        <v>241</v>
      </c>
    </row>
    <row r="165" spans="1:8" x14ac:dyDescent="0.25">
      <c r="A165" s="4">
        <v>164</v>
      </c>
      <c r="B165" s="4" t="s">
        <v>89</v>
      </c>
      <c r="C165" s="5">
        <v>0</v>
      </c>
      <c r="D165" s="6" t="s">
        <v>242</v>
      </c>
      <c r="E165" s="7">
        <v>0</v>
      </c>
      <c r="F165" s="8">
        <v>46706</v>
      </c>
      <c r="G165" s="8">
        <v>46706</v>
      </c>
      <c r="H165" s="6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B5FA-EC8E-456C-860E-4F765F949236}">
  <dimension ref="A1:FR65"/>
  <sheetViews>
    <sheetView tabSelected="1" workbookViewId="0">
      <selection activeCell="G11" sqref="G11"/>
    </sheetView>
  </sheetViews>
  <sheetFormatPr defaultRowHeight="15" x14ac:dyDescent="0.25"/>
  <cols>
    <col min="1" max="1" width="40.5703125" customWidth="1"/>
  </cols>
  <sheetData>
    <row r="1" spans="1:174" ht="50.25" x14ac:dyDescent="0.25">
      <c r="A1" s="21" t="s">
        <v>308</v>
      </c>
      <c r="B1" s="22" t="s">
        <v>94</v>
      </c>
      <c r="C1" s="21" t="s">
        <v>309</v>
      </c>
      <c r="D1" s="21" t="s">
        <v>310</v>
      </c>
      <c r="E1" s="21" t="s">
        <v>311</v>
      </c>
      <c r="F1" s="23">
        <v>46096</v>
      </c>
      <c r="G1" s="23">
        <v>46097</v>
      </c>
      <c r="H1" s="23">
        <v>46098</v>
      </c>
      <c r="I1" s="23">
        <v>46099</v>
      </c>
      <c r="J1" s="23">
        <v>46100</v>
      </c>
      <c r="K1" s="23">
        <v>46101</v>
      </c>
      <c r="L1" s="23">
        <v>46102</v>
      </c>
      <c r="M1" s="23">
        <v>46103</v>
      </c>
      <c r="N1" s="23">
        <v>46104</v>
      </c>
      <c r="O1" s="23">
        <v>46105</v>
      </c>
      <c r="P1" s="23">
        <v>46106</v>
      </c>
      <c r="Q1" s="23">
        <v>46107</v>
      </c>
      <c r="R1" s="23">
        <v>46108</v>
      </c>
      <c r="S1" s="23">
        <v>46109</v>
      </c>
      <c r="T1" s="23">
        <v>46110</v>
      </c>
      <c r="U1" s="23">
        <v>46111</v>
      </c>
      <c r="V1" s="23">
        <v>46112</v>
      </c>
      <c r="W1" s="23">
        <v>46113</v>
      </c>
      <c r="X1" s="23">
        <v>46114</v>
      </c>
      <c r="Y1" s="23">
        <v>46115</v>
      </c>
      <c r="Z1" s="23">
        <v>46116</v>
      </c>
      <c r="AA1" s="23">
        <v>46117</v>
      </c>
      <c r="AB1" s="23">
        <v>46118</v>
      </c>
      <c r="AC1" s="23">
        <v>46119</v>
      </c>
      <c r="AD1" s="23">
        <v>46120</v>
      </c>
      <c r="AE1" s="23">
        <v>46121</v>
      </c>
      <c r="AF1" s="23">
        <v>46122</v>
      </c>
      <c r="AG1" s="23">
        <v>46123</v>
      </c>
      <c r="AH1" s="23">
        <v>46124</v>
      </c>
      <c r="AI1" s="23">
        <v>46125</v>
      </c>
      <c r="AJ1" s="23">
        <v>46126</v>
      </c>
      <c r="AK1" s="23">
        <v>46127</v>
      </c>
      <c r="AL1" s="23">
        <v>46128</v>
      </c>
      <c r="AM1" s="23">
        <v>46129</v>
      </c>
      <c r="AN1" s="23">
        <v>46130</v>
      </c>
      <c r="AO1" s="23">
        <v>46131</v>
      </c>
      <c r="AP1" s="23">
        <v>46132</v>
      </c>
      <c r="AQ1" s="23">
        <v>46133</v>
      </c>
      <c r="AR1" s="23">
        <v>46134</v>
      </c>
      <c r="AS1" s="23">
        <v>46135</v>
      </c>
      <c r="AT1" s="23">
        <v>46136</v>
      </c>
      <c r="AU1" s="23">
        <v>46137</v>
      </c>
      <c r="AV1" s="23">
        <v>46138</v>
      </c>
      <c r="AW1" s="23">
        <v>46139</v>
      </c>
      <c r="AX1" s="23">
        <v>46140</v>
      </c>
      <c r="AY1" s="23">
        <v>46141</v>
      </c>
      <c r="AZ1" s="23">
        <v>46142</v>
      </c>
      <c r="BA1" s="23">
        <v>46143</v>
      </c>
      <c r="BB1" s="23">
        <v>46144</v>
      </c>
      <c r="BC1" s="23">
        <v>46145</v>
      </c>
      <c r="BD1" s="23">
        <v>46146</v>
      </c>
      <c r="BE1" s="23">
        <v>46147</v>
      </c>
      <c r="BF1" s="23">
        <v>46148</v>
      </c>
      <c r="BG1" s="23">
        <v>46149</v>
      </c>
      <c r="BH1" s="23">
        <v>46150</v>
      </c>
      <c r="BI1" s="23">
        <v>46151</v>
      </c>
      <c r="BJ1" s="23">
        <v>46152</v>
      </c>
      <c r="BK1" s="23">
        <v>46153</v>
      </c>
      <c r="BL1" s="23">
        <v>46154</v>
      </c>
      <c r="BM1" s="23">
        <v>46155</v>
      </c>
      <c r="BN1" s="23">
        <v>46156</v>
      </c>
      <c r="BO1" s="23">
        <v>46157</v>
      </c>
      <c r="BP1" s="23">
        <v>46158</v>
      </c>
      <c r="BQ1" s="23">
        <v>46159</v>
      </c>
      <c r="BR1" s="23">
        <v>46160</v>
      </c>
      <c r="BS1" s="23">
        <v>46161</v>
      </c>
      <c r="BT1" s="23">
        <v>46162</v>
      </c>
      <c r="BU1" s="23">
        <v>46163</v>
      </c>
      <c r="BV1" s="23">
        <v>46164</v>
      </c>
      <c r="BW1" s="23">
        <v>46165</v>
      </c>
      <c r="BX1" s="23">
        <v>46166</v>
      </c>
      <c r="BY1" s="23">
        <v>46167</v>
      </c>
      <c r="BZ1" s="23">
        <v>46168</v>
      </c>
      <c r="CA1" s="23">
        <v>46169</v>
      </c>
      <c r="CB1" s="23">
        <v>46170</v>
      </c>
      <c r="CC1" s="23">
        <v>46171</v>
      </c>
      <c r="CD1" s="23">
        <v>46172</v>
      </c>
      <c r="CE1" s="23">
        <v>46173</v>
      </c>
      <c r="CF1" s="23">
        <v>46174</v>
      </c>
      <c r="CG1" s="23">
        <v>46175</v>
      </c>
      <c r="CH1" s="23">
        <v>46176</v>
      </c>
      <c r="CI1" s="23">
        <v>46177</v>
      </c>
      <c r="CJ1" s="23">
        <v>46178</v>
      </c>
      <c r="CK1" s="23">
        <v>46179</v>
      </c>
      <c r="CL1" s="23">
        <v>46180</v>
      </c>
      <c r="CM1" s="23">
        <v>46181</v>
      </c>
      <c r="CN1" s="23">
        <v>46182</v>
      </c>
      <c r="CO1" s="23">
        <v>46183</v>
      </c>
      <c r="CP1" s="23">
        <v>46184</v>
      </c>
      <c r="CQ1" s="23">
        <v>46185</v>
      </c>
      <c r="CR1" s="23">
        <v>46186</v>
      </c>
      <c r="CS1" s="23">
        <v>46187</v>
      </c>
      <c r="CT1" s="23">
        <v>46188</v>
      </c>
      <c r="CU1" s="23">
        <v>46189</v>
      </c>
      <c r="CV1" s="23">
        <v>46190</v>
      </c>
      <c r="CW1" s="23">
        <v>46191</v>
      </c>
      <c r="CX1" s="23">
        <v>46192</v>
      </c>
      <c r="CY1" s="23">
        <v>46193</v>
      </c>
      <c r="CZ1" s="23">
        <v>46194</v>
      </c>
      <c r="DA1" s="23">
        <v>46195</v>
      </c>
      <c r="DB1" s="23">
        <v>46196</v>
      </c>
      <c r="DC1" s="23">
        <v>46197</v>
      </c>
      <c r="DD1" s="23">
        <v>46198</v>
      </c>
      <c r="DE1" s="23">
        <v>46199</v>
      </c>
      <c r="DF1" s="23">
        <v>46200</v>
      </c>
      <c r="DG1" s="23">
        <v>46201</v>
      </c>
      <c r="DH1" s="23">
        <v>46202</v>
      </c>
      <c r="DI1" s="23">
        <v>46203</v>
      </c>
      <c r="DJ1" s="23">
        <v>46204</v>
      </c>
      <c r="DK1" s="23">
        <v>46205</v>
      </c>
      <c r="DL1" s="23">
        <v>46206</v>
      </c>
      <c r="DM1" s="23">
        <v>46207</v>
      </c>
      <c r="DN1" s="23">
        <v>46208</v>
      </c>
      <c r="DO1" s="23">
        <v>46209</v>
      </c>
      <c r="DP1" s="23">
        <v>46210</v>
      </c>
      <c r="DQ1" s="23">
        <v>46211</v>
      </c>
      <c r="DR1" s="23">
        <v>46212</v>
      </c>
      <c r="DS1" s="23">
        <v>46213</v>
      </c>
      <c r="DT1" s="23">
        <v>46214</v>
      </c>
      <c r="DU1" s="23">
        <v>46215</v>
      </c>
      <c r="DV1" s="23">
        <v>46216</v>
      </c>
      <c r="DW1" s="23">
        <v>46217</v>
      </c>
      <c r="DX1" s="23">
        <v>46218</v>
      </c>
      <c r="DY1" s="23">
        <v>46219</v>
      </c>
      <c r="DZ1" s="23">
        <v>46220</v>
      </c>
      <c r="EA1" s="23">
        <v>46221</v>
      </c>
      <c r="EB1" s="23">
        <v>46222</v>
      </c>
      <c r="EC1" s="23">
        <v>46223</v>
      </c>
      <c r="ED1" s="23">
        <v>46224</v>
      </c>
      <c r="EE1" s="23">
        <v>46225</v>
      </c>
      <c r="EF1" s="23">
        <v>46226</v>
      </c>
      <c r="EG1" s="23">
        <v>46227</v>
      </c>
      <c r="EH1" s="23">
        <v>46228</v>
      </c>
      <c r="EI1" s="23">
        <v>46229</v>
      </c>
      <c r="EJ1" s="23">
        <v>46230</v>
      </c>
      <c r="EK1" s="23">
        <v>46231</v>
      </c>
      <c r="EL1" s="23">
        <v>46232</v>
      </c>
      <c r="EM1" s="23">
        <v>46233</v>
      </c>
      <c r="EN1" s="23">
        <v>46234</v>
      </c>
      <c r="EO1" s="23">
        <v>46235</v>
      </c>
      <c r="EP1" s="23">
        <v>46236</v>
      </c>
      <c r="EQ1" s="23">
        <v>46237</v>
      </c>
      <c r="ER1" s="23">
        <v>46238</v>
      </c>
      <c r="ES1" s="23">
        <v>46239</v>
      </c>
      <c r="ET1" s="23">
        <v>46240</v>
      </c>
      <c r="EU1" s="23">
        <v>46241</v>
      </c>
      <c r="EV1" s="23">
        <v>46242</v>
      </c>
      <c r="EW1" s="23">
        <v>46243</v>
      </c>
      <c r="EX1" s="23">
        <v>46244</v>
      </c>
      <c r="EY1" s="23">
        <v>46245</v>
      </c>
      <c r="EZ1" s="23">
        <v>46246</v>
      </c>
      <c r="FA1" s="23">
        <v>46247</v>
      </c>
      <c r="FB1" s="23">
        <v>46248</v>
      </c>
      <c r="FC1" s="23">
        <v>46249</v>
      </c>
      <c r="FD1" s="23">
        <v>46250</v>
      </c>
      <c r="FE1" s="23">
        <v>46251</v>
      </c>
      <c r="FF1" s="23">
        <v>46252</v>
      </c>
      <c r="FG1" s="23">
        <v>46253</v>
      </c>
      <c r="FH1" s="23">
        <v>46254</v>
      </c>
      <c r="FI1" s="23">
        <v>46255</v>
      </c>
      <c r="FJ1" s="23">
        <v>46256</v>
      </c>
      <c r="FK1" s="23">
        <v>46257</v>
      </c>
      <c r="FL1" s="23">
        <v>46258</v>
      </c>
      <c r="FM1" s="23">
        <v>46259</v>
      </c>
      <c r="FN1" s="23">
        <v>46260</v>
      </c>
      <c r="FO1" s="23">
        <v>46261</v>
      </c>
      <c r="FP1" s="23">
        <v>46262</v>
      </c>
      <c r="FQ1" s="23">
        <v>46263</v>
      </c>
      <c r="FR1" s="23">
        <v>46264</v>
      </c>
    </row>
    <row r="2" spans="1:174" x14ac:dyDescent="0.25">
      <c r="A2" s="24" t="s">
        <v>312</v>
      </c>
      <c r="B2" s="25"/>
      <c r="C2" s="26"/>
      <c r="D2" s="26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</row>
    <row r="3" spans="1:174" x14ac:dyDescent="0.25">
      <c r="A3" s="24" t="s">
        <v>313</v>
      </c>
      <c r="B3" s="27"/>
      <c r="C3" s="26"/>
      <c r="D3" s="26"/>
      <c r="E3" s="26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</row>
    <row r="4" spans="1:174" x14ac:dyDescent="0.25">
      <c r="A4" s="24" t="s">
        <v>314</v>
      </c>
      <c r="B4" s="25"/>
      <c r="C4" s="26"/>
      <c r="D4" s="26"/>
      <c r="E4" s="26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</row>
    <row r="5" spans="1:174" x14ac:dyDescent="0.25">
      <c r="A5" s="26" t="s">
        <v>315</v>
      </c>
      <c r="B5" s="25">
        <f>+(D5-C5)+1</f>
        <v>4</v>
      </c>
      <c r="C5" s="28">
        <v>46096</v>
      </c>
      <c r="D5" s="28">
        <v>46099</v>
      </c>
      <c r="E5" s="26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</row>
    <row r="6" spans="1:174" x14ac:dyDescent="0.25">
      <c r="A6" s="26" t="s">
        <v>316</v>
      </c>
      <c r="B6" s="25">
        <f t="shared" ref="B6:B52" si="0">+(D6-C6)+1</f>
        <v>4</v>
      </c>
      <c r="C6" s="28">
        <v>46100</v>
      </c>
      <c r="D6" s="28">
        <v>46103</v>
      </c>
      <c r="E6" s="26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</row>
    <row r="7" spans="1:174" x14ac:dyDescent="0.25">
      <c r="A7" s="26" t="s">
        <v>317</v>
      </c>
      <c r="B7" s="25">
        <f t="shared" si="0"/>
        <v>6</v>
      </c>
      <c r="C7" s="28">
        <v>46104</v>
      </c>
      <c r="D7" s="28">
        <v>46109</v>
      </c>
      <c r="E7" s="26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</row>
    <row r="8" spans="1:174" x14ac:dyDescent="0.25">
      <c r="A8" s="29" t="s">
        <v>318</v>
      </c>
      <c r="B8" s="30">
        <f t="shared" si="0"/>
        <v>6</v>
      </c>
      <c r="C8" s="31">
        <v>46110</v>
      </c>
      <c r="D8" s="31">
        <v>46115</v>
      </c>
      <c r="E8" s="26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</row>
    <row r="9" spans="1:174" x14ac:dyDescent="0.25">
      <c r="A9" s="29" t="s">
        <v>319</v>
      </c>
      <c r="B9" s="30">
        <f t="shared" si="0"/>
        <v>9</v>
      </c>
      <c r="C9" s="31">
        <v>46116</v>
      </c>
      <c r="D9" s="31">
        <v>46124</v>
      </c>
      <c r="E9" s="26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</row>
    <row r="10" spans="1:174" x14ac:dyDescent="0.25">
      <c r="A10" s="26" t="s">
        <v>320</v>
      </c>
      <c r="B10" s="25">
        <f t="shared" si="0"/>
        <v>8</v>
      </c>
      <c r="C10" s="28">
        <v>46125</v>
      </c>
      <c r="D10" s="28">
        <v>46132</v>
      </c>
      <c r="E10" s="26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</row>
    <row r="11" spans="1:174" x14ac:dyDescent="0.25">
      <c r="A11" s="29" t="s">
        <v>321</v>
      </c>
      <c r="B11" s="30">
        <f t="shared" si="0"/>
        <v>12</v>
      </c>
      <c r="C11" s="31">
        <v>46133</v>
      </c>
      <c r="D11" s="31">
        <v>46144</v>
      </c>
      <c r="E11" s="2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</row>
    <row r="12" spans="1:174" x14ac:dyDescent="0.25">
      <c r="A12" s="26" t="s">
        <v>322</v>
      </c>
      <c r="B12" s="25">
        <f t="shared" si="0"/>
        <v>5</v>
      </c>
      <c r="C12" s="28">
        <v>46238</v>
      </c>
      <c r="D12" s="28">
        <v>46242</v>
      </c>
      <c r="E12" s="26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</row>
    <row r="13" spans="1:174" x14ac:dyDescent="0.25">
      <c r="A13" s="26" t="s">
        <v>323</v>
      </c>
      <c r="B13" s="25">
        <f t="shared" si="0"/>
        <v>2</v>
      </c>
      <c r="C13" s="28">
        <v>46243</v>
      </c>
      <c r="D13" s="28">
        <v>46244</v>
      </c>
      <c r="E13" s="26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</row>
    <row r="14" spans="1:174" x14ac:dyDescent="0.25">
      <c r="A14" s="24" t="s">
        <v>324</v>
      </c>
      <c r="B14" s="25">
        <f t="shared" si="0"/>
        <v>1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</row>
    <row r="15" spans="1:174" x14ac:dyDescent="0.25">
      <c r="A15" s="26" t="s">
        <v>325</v>
      </c>
      <c r="B15" s="25">
        <f t="shared" si="0"/>
        <v>7</v>
      </c>
      <c r="C15" s="28">
        <v>46176</v>
      </c>
      <c r="D15" s="28">
        <v>46182</v>
      </c>
      <c r="E15" s="26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</row>
    <row r="16" spans="1:174" x14ac:dyDescent="0.25">
      <c r="A16" s="26" t="s">
        <v>326</v>
      </c>
      <c r="B16" s="25">
        <f t="shared" si="0"/>
        <v>8</v>
      </c>
      <c r="C16" s="28">
        <v>46183</v>
      </c>
      <c r="D16" s="28">
        <v>46190</v>
      </c>
      <c r="E16" s="2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</row>
    <row r="17" spans="1:174" x14ac:dyDescent="0.25">
      <c r="A17" s="26" t="s">
        <v>327</v>
      </c>
      <c r="B17" s="25">
        <f t="shared" si="0"/>
        <v>6</v>
      </c>
      <c r="C17" s="28">
        <v>46191</v>
      </c>
      <c r="D17" s="28">
        <v>46196</v>
      </c>
      <c r="E17" s="26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</row>
    <row r="18" spans="1:174" x14ac:dyDescent="0.25">
      <c r="A18" s="29" t="s">
        <v>328</v>
      </c>
      <c r="B18" s="30">
        <f t="shared" si="0"/>
        <v>8</v>
      </c>
      <c r="C18" s="31">
        <v>46197</v>
      </c>
      <c r="D18" s="31">
        <v>46204</v>
      </c>
      <c r="E18" s="26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</row>
    <row r="19" spans="1:174" x14ac:dyDescent="0.25">
      <c r="A19" s="26" t="s">
        <v>329</v>
      </c>
      <c r="B19" s="25">
        <f t="shared" si="0"/>
        <v>3</v>
      </c>
      <c r="C19" s="28">
        <v>46205</v>
      </c>
      <c r="D19" s="28">
        <v>46207</v>
      </c>
      <c r="E19" s="26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</row>
    <row r="20" spans="1:174" x14ac:dyDescent="0.25">
      <c r="A20" s="26" t="s">
        <v>330</v>
      </c>
      <c r="B20" s="25">
        <f t="shared" si="0"/>
        <v>4</v>
      </c>
      <c r="C20" s="28">
        <v>46208</v>
      </c>
      <c r="D20" s="28">
        <v>46211</v>
      </c>
      <c r="E20" s="26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</row>
    <row r="21" spans="1:174" x14ac:dyDescent="0.25">
      <c r="A21" s="24" t="s">
        <v>331</v>
      </c>
      <c r="B21" s="25">
        <f t="shared" si="0"/>
        <v>1</v>
      </c>
      <c r="C21" s="26"/>
      <c r="D21" s="26"/>
      <c r="E21" s="26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</row>
    <row r="22" spans="1:174" x14ac:dyDescent="0.25">
      <c r="A22" s="26" t="s">
        <v>332</v>
      </c>
      <c r="B22" s="25">
        <f t="shared" si="0"/>
        <v>4</v>
      </c>
      <c r="C22" s="28">
        <v>46213</v>
      </c>
      <c r="D22" s="28">
        <v>46216</v>
      </c>
      <c r="E22" s="26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</row>
    <row r="23" spans="1:174" x14ac:dyDescent="0.25">
      <c r="A23" s="26" t="s">
        <v>333</v>
      </c>
      <c r="B23" s="25">
        <f t="shared" si="0"/>
        <v>3</v>
      </c>
      <c r="C23" s="28">
        <v>46217</v>
      </c>
      <c r="D23" s="28">
        <v>46219</v>
      </c>
      <c r="E23" s="26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</row>
    <row r="24" spans="1:174" x14ac:dyDescent="0.25">
      <c r="A24" s="26" t="s">
        <v>334</v>
      </c>
      <c r="B24" s="25">
        <f t="shared" si="0"/>
        <v>4</v>
      </c>
      <c r="C24" s="28">
        <v>46220</v>
      </c>
      <c r="D24" s="28">
        <v>46223</v>
      </c>
      <c r="E24" s="26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</row>
    <row r="25" spans="1:174" x14ac:dyDescent="0.25">
      <c r="A25" s="26" t="s">
        <v>335</v>
      </c>
      <c r="B25" s="25">
        <f t="shared" si="0"/>
        <v>3</v>
      </c>
      <c r="C25" s="28">
        <v>46224</v>
      </c>
      <c r="D25" s="28">
        <v>46226</v>
      </c>
      <c r="E25" s="26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</row>
    <row r="26" spans="1:174" ht="30" x14ac:dyDescent="0.25">
      <c r="A26" s="26" t="s">
        <v>336</v>
      </c>
      <c r="B26" s="25">
        <f t="shared" si="0"/>
        <v>3</v>
      </c>
      <c r="C26" s="28">
        <v>46224</v>
      </c>
      <c r="D26" s="28">
        <v>46226</v>
      </c>
      <c r="E26" s="26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</row>
    <row r="27" spans="1:174" x14ac:dyDescent="0.25">
      <c r="A27" s="26" t="s">
        <v>337</v>
      </c>
      <c r="B27" s="25">
        <f t="shared" si="0"/>
        <v>3</v>
      </c>
      <c r="C27" s="28">
        <v>46224</v>
      </c>
      <c r="D27" s="28">
        <v>46226</v>
      </c>
      <c r="E27" s="26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</row>
    <row r="28" spans="1:174" x14ac:dyDescent="0.25">
      <c r="A28" s="24" t="s">
        <v>338</v>
      </c>
      <c r="B28" s="25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</row>
    <row r="29" spans="1:174" x14ac:dyDescent="0.25">
      <c r="A29" s="24" t="s">
        <v>314</v>
      </c>
      <c r="B29" s="25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</row>
    <row r="30" spans="1:174" x14ac:dyDescent="0.25">
      <c r="A30" s="26" t="s">
        <v>315</v>
      </c>
      <c r="B30" s="25">
        <f t="shared" ref="B30:B37" si="1">+(D30-C30)+1</f>
        <v>4</v>
      </c>
      <c r="C30" s="32">
        <v>46116</v>
      </c>
      <c r="D30" s="32">
        <v>46119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</row>
    <row r="31" spans="1:174" x14ac:dyDescent="0.25">
      <c r="A31" s="26" t="s">
        <v>316</v>
      </c>
      <c r="B31" s="25">
        <f t="shared" si="1"/>
        <v>4</v>
      </c>
      <c r="C31" s="32">
        <v>46120</v>
      </c>
      <c r="D31" s="32">
        <v>46123</v>
      </c>
      <c r="E31" s="3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</row>
    <row r="32" spans="1:174" x14ac:dyDescent="0.25">
      <c r="A32" s="26" t="s">
        <v>317</v>
      </c>
      <c r="B32" s="25">
        <f t="shared" si="1"/>
        <v>6</v>
      </c>
      <c r="C32" s="32">
        <v>46125</v>
      </c>
      <c r="D32" s="32">
        <v>46130</v>
      </c>
      <c r="E32" s="3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</row>
    <row r="33" spans="1:174" x14ac:dyDescent="0.25">
      <c r="A33" s="29" t="s">
        <v>318</v>
      </c>
      <c r="B33" s="30">
        <f t="shared" si="1"/>
        <v>6</v>
      </c>
      <c r="C33" s="33">
        <v>46132</v>
      </c>
      <c r="D33" s="33">
        <v>46137</v>
      </c>
      <c r="E33" s="3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</row>
    <row r="34" spans="1:174" x14ac:dyDescent="0.25">
      <c r="A34" s="29" t="s">
        <v>319</v>
      </c>
      <c r="B34" s="30">
        <f t="shared" si="1"/>
        <v>9</v>
      </c>
      <c r="C34" s="33">
        <v>46139</v>
      </c>
      <c r="D34" s="33">
        <v>46147</v>
      </c>
      <c r="E34" s="32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</row>
    <row r="35" spans="1:174" x14ac:dyDescent="0.25">
      <c r="A35" s="26" t="s">
        <v>339</v>
      </c>
      <c r="B35" s="25">
        <f t="shared" si="1"/>
        <v>8</v>
      </c>
      <c r="C35" s="32">
        <v>46148</v>
      </c>
      <c r="D35" s="32">
        <v>46155</v>
      </c>
      <c r="E35" s="3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</row>
    <row r="36" spans="1:174" x14ac:dyDescent="0.25">
      <c r="A36" s="29" t="s">
        <v>321</v>
      </c>
      <c r="B36" s="30">
        <f t="shared" si="1"/>
        <v>15</v>
      </c>
      <c r="C36" s="33">
        <v>46156</v>
      </c>
      <c r="D36" s="33">
        <v>46170</v>
      </c>
      <c r="E36" s="3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</row>
    <row r="37" spans="1:174" x14ac:dyDescent="0.25">
      <c r="A37" s="26" t="s">
        <v>322</v>
      </c>
      <c r="B37" s="25">
        <f t="shared" si="1"/>
        <v>5</v>
      </c>
      <c r="C37" s="32">
        <v>46238</v>
      </c>
      <c r="D37" s="32">
        <v>46242</v>
      </c>
      <c r="E37" s="3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</row>
    <row r="38" spans="1:174" x14ac:dyDescent="0.25">
      <c r="A38" s="26" t="s">
        <v>323</v>
      </c>
      <c r="B38" s="25">
        <f t="shared" si="0"/>
        <v>2</v>
      </c>
      <c r="C38" s="28">
        <v>46243</v>
      </c>
      <c r="D38" s="28">
        <v>46244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</row>
    <row r="39" spans="1:174" x14ac:dyDescent="0.25">
      <c r="A39" s="24" t="s">
        <v>340</v>
      </c>
      <c r="B39" s="25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</row>
    <row r="40" spans="1:174" x14ac:dyDescent="0.25">
      <c r="A40" s="26" t="s">
        <v>325</v>
      </c>
      <c r="B40" s="25">
        <f>+D40-C40</f>
        <v>7</v>
      </c>
      <c r="C40" s="32">
        <v>46197</v>
      </c>
      <c r="D40" s="32">
        <v>46204</v>
      </c>
      <c r="E40" s="25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</row>
    <row r="41" spans="1:174" x14ac:dyDescent="0.25">
      <c r="A41" s="26" t="s">
        <v>326</v>
      </c>
      <c r="B41" s="25">
        <f t="shared" ref="B41:B45" si="2">+D41-C41</f>
        <v>8</v>
      </c>
      <c r="C41" s="32">
        <v>46205</v>
      </c>
      <c r="D41" s="32">
        <v>46213</v>
      </c>
      <c r="E41" s="25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</row>
    <row r="42" spans="1:174" x14ac:dyDescent="0.25">
      <c r="A42" s="26" t="s">
        <v>327</v>
      </c>
      <c r="B42" s="25">
        <f t="shared" si="2"/>
        <v>6</v>
      </c>
      <c r="C42" s="32">
        <v>46213</v>
      </c>
      <c r="D42" s="32">
        <v>46219</v>
      </c>
      <c r="E42" s="25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</row>
    <row r="43" spans="1:174" x14ac:dyDescent="0.25">
      <c r="A43" s="29" t="s">
        <v>328</v>
      </c>
      <c r="B43" s="30">
        <f t="shared" si="2"/>
        <v>8</v>
      </c>
      <c r="C43" s="33">
        <v>46220</v>
      </c>
      <c r="D43" s="33">
        <v>46228</v>
      </c>
      <c r="E43" s="25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</row>
    <row r="44" spans="1:174" x14ac:dyDescent="0.25">
      <c r="A44" s="26" t="s">
        <v>329</v>
      </c>
      <c r="B44" s="25">
        <f t="shared" si="2"/>
        <v>3</v>
      </c>
      <c r="C44" s="32">
        <v>46229</v>
      </c>
      <c r="D44" s="32">
        <v>46232</v>
      </c>
      <c r="E44" s="25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</row>
    <row r="45" spans="1:174" x14ac:dyDescent="0.25">
      <c r="A45" s="26" t="s">
        <v>330</v>
      </c>
      <c r="B45" s="25">
        <f t="shared" si="2"/>
        <v>4</v>
      </c>
      <c r="C45" s="32">
        <v>46233</v>
      </c>
      <c r="D45" s="32">
        <v>46237</v>
      </c>
      <c r="E45" s="25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</row>
    <row r="46" spans="1:174" x14ac:dyDescent="0.25">
      <c r="A46" s="24" t="s">
        <v>341</v>
      </c>
      <c r="B46" s="25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</row>
    <row r="47" spans="1:174" x14ac:dyDescent="0.25">
      <c r="A47" s="26" t="s">
        <v>332</v>
      </c>
      <c r="B47" s="25">
        <f t="shared" si="0"/>
        <v>4</v>
      </c>
      <c r="C47" s="32">
        <v>46237</v>
      </c>
      <c r="D47" s="32">
        <v>46240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</row>
    <row r="48" spans="1:174" x14ac:dyDescent="0.25">
      <c r="A48" s="26" t="s">
        <v>333</v>
      </c>
      <c r="B48" s="25">
        <f t="shared" si="0"/>
        <v>3</v>
      </c>
      <c r="C48" s="32">
        <v>46241</v>
      </c>
      <c r="D48" s="32">
        <v>46243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</row>
    <row r="49" spans="1:174" x14ac:dyDescent="0.25">
      <c r="A49" s="26" t="s">
        <v>334</v>
      </c>
      <c r="B49" s="25">
        <f t="shared" si="0"/>
        <v>4</v>
      </c>
      <c r="C49" s="32">
        <v>46244</v>
      </c>
      <c r="D49" s="32">
        <v>46247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</row>
    <row r="50" spans="1:174" x14ac:dyDescent="0.25">
      <c r="A50" s="26" t="s">
        <v>335</v>
      </c>
      <c r="B50" s="25">
        <f t="shared" si="0"/>
        <v>3</v>
      </c>
      <c r="C50" s="32">
        <v>46248</v>
      </c>
      <c r="D50" s="32">
        <v>46250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</row>
    <row r="51" spans="1:174" ht="30" x14ac:dyDescent="0.25">
      <c r="A51" s="26" t="s">
        <v>336</v>
      </c>
      <c r="B51" s="25">
        <f t="shared" si="0"/>
        <v>3</v>
      </c>
      <c r="C51" s="32">
        <v>46248</v>
      </c>
      <c r="D51" s="32">
        <v>46250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</row>
    <row r="52" spans="1:174" x14ac:dyDescent="0.25">
      <c r="A52" s="26" t="s">
        <v>337</v>
      </c>
      <c r="B52" s="25">
        <f t="shared" si="0"/>
        <v>3</v>
      </c>
      <c r="C52" s="32">
        <v>46248</v>
      </c>
      <c r="D52" s="32">
        <v>46250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</row>
    <row r="53" spans="1:174" x14ac:dyDescent="0.25">
      <c r="A53" s="13"/>
      <c r="B53" s="25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</row>
    <row r="54" spans="1:174" x14ac:dyDescent="0.25">
      <c r="A54" s="34" t="s">
        <v>342</v>
      </c>
      <c r="B54" s="25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</row>
    <row r="55" spans="1:174" x14ac:dyDescent="0.25">
      <c r="A55" s="26" t="s">
        <v>343</v>
      </c>
      <c r="B55" s="25">
        <f t="shared" ref="B55:B65" si="3">+(D55-C55)+1</f>
        <v>8</v>
      </c>
      <c r="C55" s="32">
        <v>46175</v>
      </c>
      <c r="D55" s="32">
        <v>46182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</row>
    <row r="56" spans="1:174" ht="30" x14ac:dyDescent="0.25">
      <c r="A56" s="26" t="s">
        <v>344</v>
      </c>
      <c r="B56" s="25">
        <f t="shared" si="3"/>
        <v>24</v>
      </c>
      <c r="C56" s="35">
        <v>46185</v>
      </c>
      <c r="D56" s="35">
        <v>46208</v>
      </c>
      <c r="E56" s="18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</row>
    <row r="57" spans="1:174" x14ac:dyDescent="0.25">
      <c r="A57" s="26" t="s">
        <v>345</v>
      </c>
      <c r="B57" s="25">
        <f t="shared" si="3"/>
        <v>20</v>
      </c>
      <c r="C57" s="35">
        <v>46199</v>
      </c>
      <c r="D57" s="35">
        <v>46218</v>
      </c>
      <c r="E57" s="18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</row>
    <row r="58" spans="1:174" ht="30" x14ac:dyDescent="0.25">
      <c r="A58" s="26" t="s">
        <v>346</v>
      </c>
      <c r="B58" s="25">
        <f t="shared" si="3"/>
        <v>5</v>
      </c>
      <c r="C58" s="35">
        <v>46221</v>
      </c>
      <c r="D58" s="35">
        <v>46225</v>
      </c>
      <c r="E58" s="18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</row>
    <row r="59" spans="1:174" ht="30" x14ac:dyDescent="0.25">
      <c r="A59" s="26" t="s">
        <v>347</v>
      </c>
      <c r="B59" s="25">
        <f t="shared" si="3"/>
        <v>14</v>
      </c>
      <c r="C59" s="35">
        <v>46226</v>
      </c>
      <c r="D59" s="35">
        <v>46239</v>
      </c>
      <c r="E59" s="18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</row>
    <row r="60" spans="1:174" ht="60" x14ac:dyDescent="0.25">
      <c r="A60" s="26" t="s">
        <v>348</v>
      </c>
      <c r="B60" s="25">
        <f t="shared" si="3"/>
        <v>17</v>
      </c>
      <c r="C60" s="35">
        <v>46240</v>
      </c>
      <c r="D60" s="35">
        <v>46256</v>
      </c>
      <c r="E60" s="18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</row>
    <row r="61" spans="1:174" ht="30" x14ac:dyDescent="0.25">
      <c r="A61" s="26" t="s">
        <v>349</v>
      </c>
      <c r="B61" s="25">
        <f t="shared" si="3"/>
        <v>5</v>
      </c>
      <c r="C61" s="35">
        <v>46257</v>
      </c>
      <c r="D61" s="35">
        <v>46261</v>
      </c>
      <c r="E61" s="18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</row>
    <row r="62" spans="1:174" x14ac:dyDescent="0.25">
      <c r="A62" s="26" t="s">
        <v>350</v>
      </c>
      <c r="B62" s="25">
        <f t="shared" si="3"/>
        <v>2</v>
      </c>
      <c r="C62" s="35">
        <v>46221</v>
      </c>
      <c r="D62" s="35">
        <v>46222</v>
      </c>
      <c r="E62" s="18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</row>
    <row r="63" spans="1:174" x14ac:dyDescent="0.25">
      <c r="A63" s="26" t="s">
        <v>351</v>
      </c>
      <c r="B63" s="25">
        <f t="shared" si="3"/>
        <v>3</v>
      </c>
      <c r="C63" s="35">
        <v>46223</v>
      </c>
      <c r="D63" s="35">
        <v>46225</v>
      </c>
      <c r="E63" s="18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</row>
    <row r="64" spans="1:174" ht="30" x14ac:dyDescent="0.25">
      <c r="A64" s="26" t="s">
        <v>352</v>
      </c>
      <c r="B64" s="25">
        <f t="shared" si="3"/>
        <v>7</v>
      </c>
      <c r="C64" s="35">
        <v>46240</v>
      </c>
      <c r="D64" s="35">
        <v>46246</v>
      </c>
      <c r="E64" s="18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</row>
    <row r="65" spans="1:174" x14ac:dyDescent="0.25">
      <c r="A65" s="26" t="s">
        <v>323</v>
      </c>
      <c r="B65" s="25">
        <f t="shared" si="3"/>
        <v>1</v>
      </c>
      <c r="C65" s="18"/>
      <c r="D65" s="18"/>
      <c r="E65" s="18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</row>
  </sheetData>
  <conditionalFormatting sqref="F5:FR65">
    <cfRule type="expression" dxfId="0" priority="1">
      <formula>AND(F$3&gt;=$C5, F$3&lt;=$D5)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Engagements</vt:lpstr>
      <vt:lpstr>Sites_List</vt:lpstr>
      <vt:lpstr>profiles</vt:lpstr>
      <vt:lpstr>Tools</vt:lpstr>
      <vt:lpstr>Seti_Updated</vt:lpstr>
      <vt:lpstr>Khudi_Timeline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koirala</cp:lastModifiedBy>
  <dcterms:created xsi:type="dcterms:W3CDTF">2026-02-20T09:35:58Z</dcterms:created>
  <dcterms:modified xsi:type="dcterms:W3CDTF">2026-03-07T19:32:03Z</dcterms:modified>
</cp:coreProperties>
</file>